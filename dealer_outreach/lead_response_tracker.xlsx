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\doctor\dealer_outreach\"/>
    </mc:Choice>
  </mc:AlternateContent>
  <xr:revisionPtr revIDLastSave="0" documentId="13_ncr:1_{111D895F-28F3-455C-934A-03C9BCE623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 Response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I13" i="1"/>
</calcChain>
</file>

<file path=xl/sharedStrings.xml><?xml version="1.0" encoding="utf-8"?>
<sst xmlns="http://schemas.openxmlformats.org/spreadsheetml/2006/main" count="385" uniqueCount="330">
  <si>
    <t>AutoTrader Lead Response Test - Cape Town Dealers - 11 Feb 2026</t>
  </si>
  <si>
    <t>#</t>
  </si>
  <si>
    <t>Car Listing</t>
  </si>
  <si>
    <t>Dealer Name</t>
  </si>
  <si>
    <t>AutoTrader URL</t>
  </si>
  <si>
    <t>Time Enquiry Sent</t>
  </si>
  <si>
    <t>Got Callback?</t>
  </si>
  <si>
    <t>Time of Callback</t>
  </si>
  <si>
    <t>Response Time</t>
  </si>
  <si>
    <t>Notes</t>
  </si>
  <si>
    <t>VW Amarok 2.0BiTDi</t>
  </si>
  <si>
    <t>https://www.autotrader.co.za/car-for-sale/volkswagen/amarok/2.0bitdi/28417706</t>
  </si>
  <si>
    <t>Haval H6 GT Luxury</t>
  </si>
  <si>
    <t>https://www.autotrader.co.za/car-for-sale/haval/h6-gt/luxury/28417304</t>
  </si>
  <si>
    <t>Jetour Dashing 1.5T</t>
  </si>
  <si>
    <t>https://www.autotrader.co.za/car-for-sale/jetour/dashing/1.5t/28417282</t>
  </si>
  <si>
    <t>Kia Sorento 2.2</t>
  </si>
  <si>
    <t>https://www.autotrader.co.za/car-for-sale/kia/sorento/2.2/28415393</t>
  </si>
  <si>
    <t>Hyundai Grand i10 Motion</t>
  </si>
  <si>
    <t>https://www.autotrader.co.za/car-for-sale/hyundai/grand-i10/motion/28414153</t>
  </si>
  <si>
    <t>GWM P-Series LTD</t>
  </si>
  <si>
    <t>https://www.autotrader.co.za/car-for-sale/gwm/p-series/ltd/28408961</t>
  </si>
  <si>
    <t>Mercedes SLK 350</t>
  </si>
  <si>
    <t>https://www.autotrader.co.za/car-for-sale/mercedes-benz/slk/slk350/28413478</t>
  </si>
  <si>
    <t>VW Amarok 3.0TDi</t>
  </si>
  <si>
    <t>https://www.autotrader.co.za/car-for-sale/volkswagen/amarok/3.0tdi/28413458</t>
  </si>
  <si>
    <t>Jetour X70 Plus 1.5T</t>
  </si>
  <si>
    <t>https://www.autotrader.co.za/car-for-sale/jetour/x70-plus/1.5t/28413186</t>
  </si>
  <si>
    <t>VW T-Cross 1.5TSi</t>
  </si>
  <si>
    <t>https://www.autotrader.co.za/car-for-sale/volkswagen/t-cross/1.5tsi/28411127</t>
  </si>
  <si>
    <t>VW Tiguan 2.0TSi</t>
  </si>
  <si>
    <t>https://www.autotrader.co.za/car-for-sale/volkswagen/tiguan/2.0tsi/28415602</t>
  </si>
  <si>
    <t>VW Polo GTI</t>
  </si>
  <si>
    <t>https://www.autotrader.co.za/car-for-sale/volkswagen/polo/gti/28410031</t>
  </si>
  <si>
    <t>Hyundai Kona Executive</t>
  </si>
  <si>
    <t>https://www.autotrader.co.za/car-for-sale/hyundai/kona/executive/28413524</t>
  </si>
  <si>
    <t>Ford Tourneo Custom</t>
  </si>
  <si>
    <t>https://www.autotrader.co.za/car-for-sale/ford/tourneo-custom/ambiente/28396761</t>
  </si>
  <si>
    <t>Isuzu D-Max 1.9</t>
  </si>
  <si>
    <t>https://www.autotrader.co.za/car-for-sale/isuzu/d-max/1.9/28405017</t>
  </si>
  <si>
    <t>Toyota Fortuner 2.4GD-6</t>
  </si>
  <si>
    <t>https://www.autotrader.co.za/car-for-sale/toyota/fortuner/2.4gd-6/28417581</t>
  </si>
  <si>
    <t>Land Rover Evoque D200</t>
  </si>
  <si>
    <t>https://www.autotrader.co.za/car-for-sale/land-rover/range-rover-evoque/d200/28411043</t>
  </si>
  <si>
    <t>Isuzu D-Max 250</t>
  </si>
  <si>
    <t>https://www.autotrader.co.za/car-for-sale/isuzu/d-max/250/28409776</t>
  </si>
  <si>
    <t>Land Rover Defender 110</t>
  </si>
  <si>
    <t>https://www.autotrader.co.za/car-for-sale/land-rover/defender/110/28406113</t>
  </si>
  <si>
    <t>Kia Picanto 1.2</t>
  </si>
  <si>
    <t>https://www.autotrader.co.za/car-for-sale/kia/picanto/1.2/28415590</t>
  </si>
  <si>
    <t>SUMMARY</t>
  </si>
  <si>
    <t>Total enquiries sent:</t>
  </si>
  <si>
    <t>Called back within 1 hour:</t>
  </si>
  <si>
    <t>Called back within 4 hours:</t>
  </si>
  <si>
    <t>Called back next day:</t>
  </si>
  <si>
    <t>Never called back:</t>
  </si>
  <si>
    <t>Average response time:</t>
  </si>
  <si>
    <t>PITCH LINES FROM THIS TEST</t>
  </si>
  <si>
    <t>"I enquired about your [car] at [time]. Your team called me back [X hours] later. By then I'd already spoken to 3 other dealers."</t>
  </si>
  <si>
    <t>"Out of 20 dealers I tested, only [X] called back within an hour. The other [Y] lost the sale."</t>
  </si>
  <si>
    <t>"What if every lead got a call back in 60 seconds — even at 9pm on a Friday?"</t>
  </si>
  <si>
    <t>King Cars Bellville</t>
  </si>
  <si>
    <t>Bargain Auto</t>
  </si>
  <si>
    <t>William Simpson Cars</t>
  </si>
  <si>
    <t>Village Auto</t>
  </si>
  <si>
    <t>Beam Auto</t>
  </si>
  <si>
    <t>Fuzion Pre-owned Cape Town</t>
  </si>
  <si>
    <t>Faiz Motors CC</t>
  </si>
  <si>
    <t>MVP Auto</t>
  </si>
  <si>
    <t>Thorp Certified Bayside</t>
  </si>
  <si>
    <t>Amazen Auto Cape Town</t>
  </si>
  <si>
    <t>Velocity Exclusives</t>
  </si>
  <si>
    <t>Auto Gem</t>
  </si>
  <si>
    <t>Getworth</t>
  </si>
  <si>
    <t>Autostyling CPT</t>
  </si>
  <si>
    <t>Westvaal Somerset West</t>
  </si>
  <si>
    <t>Myride Malmesbury</t>
  </si>
  <si>
    <t>The Auto Agents Cpt</t>
  </si>
  <si>
    <t>Driving Force</t>
  </si>
  <si>
    <t>The Mother City Car Company (Pty) Ltd</t>
  </si>
  <si>
    <t>Verified AutoTrader Seller</t>
  </si>
  <si>
    <t>yes</t>
  </si>
  <si>
    <t>only email</t>
  </si>
  <si>
    <t>no</t>
  </si>
  <si>
    <t>11/02/2026</t>
  </si>
  <si>
    <t>volvo</t>
  </si>
  <si>
    <t>Cubbi</t>
  </si>
  <si>
    <t>only email/16 feb 10:45 whatsapp</t>
  </si>
  <si>
    <t>https://www.autotrader.co.za/car-for-sale/chevrolet/spark/1.2/28415678?vf=6&amp;db=1&amp;s360=0&amp;so=1&amp;pl=0&amp;pr=3&amp;po=1&amp;pq=0&amp;sp=2</t>
  </si>
  <si>
    <t>2014 Chevrolet Spark 1.2 LT</t>
  </si>
  <si>
    <t>2BG Autos</t>
  </si>
  <si>
    <t>https://www.autotrader.co.za/car-for-sale/toyota/hilux/2.4gd/28307479?vf=6&amp;db=1&amp;s360=0&amp;so=1&amp;pl=1&amp;pr=5&amp;po=1&amp;pq=0&amp;sp=6</t>
  </si>
  <si>
    <t>2017 Toyota Hilux
2.4GD (Aircon)</t>
  </si>
  <si>
    <t>A.M.A Auto</t>
  </si>
  <si>
    <t>2014 Mercedes-Benz A-Class
A200 Auto</t>
  </si>
  <si>
    <t>AC Exclusive Cars</t>
  </si>
  <si>
    <t>https://www.autotrader.co.za/car-for-sale/mercedes-benz/a-class/a200/28418525?vf=6&amp;db=1&amp;s360=0&amp;so=1&amp;pl=0&amp;pr=3&amp;po=1&amp;pq=0&amp;sp=3</t>
  </si>
  <si>
    <t>https://www.autotrader.co.za/car-for-sale/bmw/1-series/116i/28218153?vf=6&amp;db=1&amp;s360=0&amp;so=1&amp;pl=1&amp;pr=5&amp;po=1&amp;pq=0&amp;sp=6</t>
  </si>
  <si>
    <t xml:space="preserve">2011 BMW 1 Series
116i 3-Door
</t>
  </si>
  <si>
    <t>AO Auto Traders</t>
  </si>
  <si>
    <t>https://www.autotrader.co.za/car-for-sale/toyota/etios/sprint/28186423?vf=6&amp;db=1&amp;s360=0&amp;so=1&amp;pl=0&amp;pr=2&amp;po=1&amp;pq=0&amp;sp=3</t>
  </si>
  <si>
    <t>2019 Toyota Etios
hatch 1.5 Sprint</t>
  </si>
  <si>
    <t>Abdullah's Car Sales</t>
  </si>
  <si>
    <t>https://www.autotrader.co.za/car-for-sale/volkswagen/polo/1.2tsi/28407657?vf=6&amp;db=1&amp;s360=0&amp;so=1&amp;pl=0&amp;pr=2&amp;po=1&amp;pq=0&amp;sp=3</t>
  </si>
  <si>
    <t>2018 Volkswagen Polo
Hatch 1.2TSI Trendline</t>
  </si>
  <si>
    <t>Affinity Cars</t>
  </si>
  <si>
    <t>https://www.autotrader.co.za/car-for-sale/volkswagen/polo/1.4/28329968?vf=6&amp;db=1&amp;s360=0&amp;so=1&amp;pl=0&amp;pr=2&amp;po=1&amp;pq=0&amp;sp=3</t>
  </si>
  <si>
    <t>2013 Volkswagen Polo
1.4 Comfortline</t>
  </si>
  <si>
    <t>Aleem Car Sales</t>
  </si>
  <si>
    <t>https://www.autotrader.co.za/car-for-sale/ford/ranger/xl/28389037?vf=6&amp;db=1&amp;s360=0&amp;so=1&amp;pl=0&amp;pr=3&amp;po=1&amp;pq=0&amp;sp=4</t>
  </si>
  <si>
    <t>2018 Ford Ranger
2.2TDCi Double Cab Hi-Rider XL</t>
  </si>
  <si>
    <t>Alpine Autohaus</t>
  </si>
  <si>
    <t>https://www.autotrader.co.za/car-for-sale/toyota/corolla-quest/plus/28394955?vf=6&amp;db=1&amp;s360=0&amp;so=1&amp;pl=0&amp;pr=2&amp;po=1&amp;pq=0&amp;sp=3</t>
  </si>
  <si>
    <t>2017 Toyota Corolla Quest
1.6 Plus</t>
  </si>
  <si>
    <t>Amazen Auto (knysna)</t>
  </si>
  <si>
    <t>https://www.autotrader.co.za/car-for-sale/bmw/x1/sdrive20i/28407875?vf=6&amp;db=1&amp;s360=0&amp;so=1&amp;pl=0&amp;pr=5&amp;po=1&amp;pq=0&amp;sp=3</t>
  </si>
  <si>
    <t>2018 BMW X1
sDrive20i M Sport Auto</t>
  </si>
  <si>
    <t>Anglo Auto</t>
  </si>
  <si>
    <t>https://www.autotrader.co.za/car-for-sale/ford/ranger/xl/28417786?vf=6&amp;db=1&amp;s360=0&amp;so=1&amp;pl=0&amp;pr=3&amp;po=1&amp;pq=0&amp;sp=3</t>
  </si>
  <si>
    <t>2013 Ford Ranger
2.2TDCi Double Cab Hi-Rider XL</t>
  </si>
  <si>
    <t>Appelgryn Trading</t>
  </si>
  <si>
    <t>https://www.autotrader.co.za/car-for-sale/land-rover/discovery-4/sdv6/28081421?vf=6&amp;db=1&amp;s360=0&amp;so=1&amp;pl=0&amp;pr=3&amp;po=1&amp;pq=0&amp;sp=3</t>
  </si>
  <si>
    <t>2011 Land Rover Discovery 4
SDV6 SE</t>
  </si>
  <si>
    <t>At Laas Auto (Pty) Ltd</t>
  </si>
  <si>
    <t>https://www.autotrader.co.za/car-for-sale/toyota/starlet/1.5/28417037?vf=6&amp;db=1&amp;s360=0&amp;so=1&amp;pl=0&amp;pr=5&amp;po=1&amp;pq=0&amp;sp=3</t>
  </si>
  <si>
    <t>2026 Toyota Starlet
1.5 Xi</t>
  </si>
  <si>
    <t>Authentique Autos</t>
  </si>
  <si>
    <t>https://www.autotrader.co.za/car-for-sale/volkswagen/polo/1.4/28418295?vf=6&amp;db=1&amp;s360=0&amp;so=1&amp;pl=0&amp;pr=3&amp;po=1&amp;pq=0&amp;sp=3</t>
  </si>
  <si>
    <t>2018 Volkswagen Polo
Sedan 1.4 Trendline</t>
  </si>
  <si>
    <t>Auto Africa</t>
  </si>
  <si>
    <t>https://www.autotrader.co.za/car-for-sale/fiat/500/riva/28419397?vf=6&amp;db=1&amp;s360=0&amp;so=1&amp;pl=0&amp;pr=5&amp;po=1&amp;pq=0&amp;sp=1</t>
  </si>
  <si>
    <t>2017 Fiat 500
500C TwinAir Riva Auto</t>
  </si>
  <si>
    <t>Auto Cars</t>
  </si>
  <si>
    <t>https://www.autotrader.co.za/car-for-sale/mercedes-benz/a-class/a200/28411531?vf=6&amp;db=0&amp;s360=0&amp;so=0&amp;pl=0&amp;pr=3&amp;po=1&amp;pq=0&amp;sp=1</t>
  </si>
  <si>
    <t>2018 Mercedes-Benz A-Class
A200d AMG Line Auto</t>
  </si>
  <si>
    <t>Auto Elite</t>
  </si>
  <si>
    <t>https://www.autotrader.co.za/car-for-sale/bmw/1-series/m135i/28420831?vf=6&amp;db=1&amp;s360=0&amp;so=1&amp;pl=0&amp;pr=3&amp;po=1&amp;pq=0&amp;sp=3</t>
  </si>
  <si>
    <t>2016 BMW 1 Series
M135i 5-Door Sports-Auto</t>
  </si>
  <si>
    <t>Auto Emporium</t>
  </si>
  <si>
    <t>https://www.autotrader.co.za/car-for-sale/land-rover/discovery/td6/28377257?vf=6&amp;db=1&amp;s360=0&amp;so=1&amp;pl=1&amp;pr=3&amp;po=1&amp;pq=0&amp;sp=6</t>
  </si>
  <si>
    <t>2018 Land Rover Discovery
HSE Luxury TD6</t>
  </si>
  <si>
    <t>Auto Excellence Stellenbosch</t>
  </si>
  <si>
    <t>https://www.autotrader.co.za/car-for-sale/toyota/corolla-cross/1.8/28419846?vf=6&amp;db=1&amp;s360=0&amp;so=1&amp;pl=0&amp;pr=2&amp;po=1&amp;pq=0&amp;sp=2</t>
  </si>
  <si>
    <t>2023 Toyota Corolla Cross</t>
  </si>
  <si>
    <t>Auto Investments Paarl</t>
  </si>
  <si>
    <t>https://www.autotrader.co.za/car-for-sale/volkswagen/t-cross/1.0tsi/28249154?vf=6&amp;db=1&amp;s360=0&amp;so=1&amp;pl=1&amp;pr=2&amp;po=1&amp;pq=0&amp;sp=6</t>
  </si>
  <si>
    <t>2019 Volkswagen T-Cross
1.0TSI 85kW Comfortline</t>
  </si>
  <si>
    <t>Auto Investments Vredenburg</t>
  </si>
  <si>
    <t>https://www.autotrader.co.za/car-for-sale/volkswagen/caddy/2.0tdi/28412951?vf=6&amp;db=1&amp;s360=0&amp;so=1&amp;pl=0&amp;pr=5&amp;po=1&amp;pq=0&amp;sp=4</t>
  </si>
  <si>
    <t>2018 Volkswagen Caddy
Maxi 2.0TDI Trendline</t>
  </si>
  <si>
    <t>Auto King</t>
  </si>
  <si>
    <t>https://www.autotrader.co.za/car-for-sale/mercedes-benz/c-class/c250/28406679?vf=6&amp;db=1&amp;s360=0&amp;so=1&amp;pl=0&amp;pr=5&amp;po=1&amp;pq=0&amp;sp=3</t>
  </si>
  <si>
    <t>2012 Mercedes-Benz C-Class
C250CDI Avantgarde</t>
  </si>
  <si>
    <t>Auto Monarch</t>
  </si>
  <si>
    <t>https://www.autotrader.co.za/car-for-sale/mercedes-benz/a-class/a200/28420706?vf=6&amp;db=1&amp;s360=0&amp;so=1&amp;pl=0&amp;pr=3&amp;po=1&amp;pq=0&amp;sp=3</t>
  </si>
  <si>
    <t>2020 Mercedes-Benz A-Class
A200d Hatch Style</t>
  </si>
  <si>
    <t>Auto Nantes Paarl</t>
  </si>
  <si>
    <t>https://www.autotrader.co.za/car-for-sale/mercedes-amg/cla/cla45/28405913?vf=6&amp;db=1&amp;s360=0&amp;so=1&amp;pl=1&amp;pr=3&amp;po=1&amp;pq=0&amp;sp=6</t>
  </si>
  <si>
    <t>2015 Mercedes-AMG CLA
CLA45 4Matic</t>
  </si>
  <si>
    <t>Auto One Motors</t>
  </si>
  <si>
    <t>CL-153284 ref number</t>
  </si>
  <si>
    <t>02/02/2026</t>
  </si>
  <si>
    <t>TIME NOW</t>
  </si>
  <si>
    <t>2020 Ford EcoSport 1.0T Titanium Auto Enquiry</t>
  </si>
  <si>
    <t>Auto Spot</t>
  </si>
  <si>
    <t>https://www.autotrader.co.za/car-for-sale/ford/ecosport/titanium/28162264?utm_source=autotrader-website&amp;utm_medium=email&amp;utm_campaign=enquiryconfirmation</t>
  </si>
  <si>
    <t>2022 Toyota Starlet 1.4 XR</t>
  </si>
  <si>
    <t>Auto Superb</t>
  </si>
  <si>
    <t>http://autotrader.co.za/car-for-sale/toyota/starlet/1.4/28417733?utm_source=autotrader-website&amp;utm_medium=email&amp;utm_campaign=enquiryconfirmation</t>
  </si>
  <si>
    <t>2015 Fiat 500 500S Cabriolet</t>
  </si>
  <si>
    <t>AutoHotSpot</t>
  </si>
  <si>
    <t>https://www.autotrader.co.za/car-for-sale/fiat/500/1.4/28420035?utm_source=autotrader-website&amp;utm_medium=email&amp;utm_campaign=enquiryconfirmation</t>
  </si>
  <si>
    <t>2019 Volvo V40 T4 Momentum Auto</t>
  </si>
  <si>
    <t>Autocrat Motors</t>
  </si>
  <si>
    <t>https://www.autotrader.co.za/car-for-sale/volvo/v40/t4/28422442?utm_source=autotrader-website&amp;utm_medium=email&amp;utm_campaign=enquiryconfirmation</t>
  </si>
  <si>
    <t>2012 Volkswagen Golf GTI Auto</t>
  </si>
  <si>
    <t>Autodrome</t>
  </si>
  <si>
    <t>https://www.autotrader.co.za/car-for-sale/volkswagen/golf/gti/28197746?utm_source=autotrader-website&amp;utm_medium=email&amp;utm_campaign=enquiryconfirmation</t>
  </si>
  <si>
    <t>2021 Kia Rio
hatch 1.4 Tec</t>
  </si>
  <si>
    <t>Autohaus Angel Belville</t>
  </si>
  <si>
    <t>https://www.autotrader.co.za/car-for-sale/kia/rio/1.4/28403586?utm_source=autotrader-website&amp;utm_medium=email&amp;utm_campaign=enquiryconfirmation</t>
  </si>
  <si>
    <t>2017 Ford Fiesta 5-Door 1.5TDCi </t>
  </si>
  <si>
    <t>Autohaven</t>
  </si>
  <si>
    <t>https://www.autotrader.co.za/car-for-sale/ford/fiesta/trend/28395654?utm_source=autotrader-website&amp;utm_medium=email&amp;utm_campaign=enquiryconfirmation</t>
  </si>
  <si>
    <t>2015 Mercedes-Benz GLA GLA200CDI </t>
  </si>
  <si>
    <t>https://www.autotrader.co.za/car-for-sale/mercedes-benz/gla/gla200/28399875?utm_source=autotrader-website&amp;utm_medium=email&amp;utm_campaign=enquiryconfirmation</t>
  </si>
  <si>
    <t>Autolink</t>
  </si>
  <si>
    <t>https://www.autotrader.co.za/car-for-sale/volkswagen/polo-vivo/1.4/28413338?utm_source=autotrader-website&amp;utm_medium=email&amp;utm_campaign=enquiryconfirmation</t>
  </si>
  <si>
    <t>Automar</t>
  </si>
  <si>
    <t>2015 Ford Ranger 2.2TDCi Hi-Rider XLS</t>
  </si>
  <si>
    <t>https://www.autotrader.co.za/car-for-sale/ford/ranger/xls/28257233?utm_source=autotrader-website&amp;utm_medium=email&amp;utm_campaign=enquiryconfirmation</t>
  </si>
  <si>
    <t>Automax Select Used Cars</t>
  </si>
  <si>
    <t>2022 Hyundai Venue 1.0T TGDI Motion</t>
  </si>
  <si>
    <t>https://www.autotrader.co.za/car-for-sale/hyundai/venue/motion/28409688?utm_source=autotrader-website&amp;utm_medium=email&amp;utm_campaign=enquiryconfirmation</t>
  </si>
  <si>
    <t>Autonet</t>
  </si>
  <si>
    <t>2014 Kia Rio hatch 1.4 Tec </t>
  </si>
  <si>
    <t>https://www.autotrader.co.za/car-for-sale/kia/rio/1.4/28243509?utm_source=autotrader-website&amp;utm_medium=email&amp;utm_campaign=enquiryconfirmation</t>
  </si>
  <si>
    <t>Autos By US</t>
  </si>
  <si>
    <t>2015 Ford Fiesta
ST</t>
  </si>
  <si>
    <t>Autospan</t>
  </si>
  <si>
    <t>https://www.autotrader.co.za/car-for-sale/ford/fiesta/st/28401631?vf=6&amp;db=0&amp;s360=0&amp;so=0&amp;pl=0&amp;pr=5&amp;po=1&amp;pq=0&amp;sp=1</t>
  </si>
  <si>
    <t>https://www.autotrader.co.za/car-for-sale/nissan/magnite/1-l/28410683?vf=6&amp;db=1&amp;s360=0&amp;so=1&amp;pl=0&amp;pr=3&amp;po=1&amp;pq=0&amp;sp=4</t>
  </si>
  <si>
    <t>2022 Nissan Magnite
1.0 Turbo Acenta Auto</t>
  </si>
  <si>
    <t>Autotops</t>
  </si>
  <si>
    <t>https://www.autotrader.co.za/car-for-sale/suzuki/s-presso/gl/28416205?vf=6&amp;db=1&amp;s360=0&amp;so=1&amp;pl=0&amp;pr=3&amp;po=1&amp;pq=0&amp;sp=3</t>
  </si>
  <si>
    <t xml:space="preserve">2022 Suzuki S-Presso
1.0 GL Manual
</t>
  </si>
  <si>
    <t>Autowize Car Agency</t>
  </si>
  <si>
    <t>https://www.autotrader.co.za/car-for-sale/volkswagen/golf/r/28390110?vf=6&amp;db=1&amp;s360=0&amp;so=1&amp;pl=0&amp;pr=3&amp;po=1&amp;pq=0&amp;sp=3</t>
  </si>
  <si>
    <t>2017 Volkswagen Golf
R Auto</t>
  </si>
  <si>
    <t>Autoworld Exotic</t>
  </si>
  <si>
    <t>https://www.autotrader.co.za/car-for-sale/volkswagen/polo-vivo/1.4/28417971?vf=6&amp;db=1&amp;s360=0&amp;so=1&amp;pl=0&amp;pr=2&amp;po=1&amp;pq=0&amp;sp=1</t>
  </si>
  <si>
    <t>2025 Volkswagen Polo Vivo
Hatch 1.4</t>
  </si>
  <si>
    <t>Avis Car Sales Bellville</t>
  </si>
  <si>
    <t>https://www.autotrader.co.za/car-for-sale/suzuki/swift/1.2/28419323?vf=6&amp;db=1&amp;s360=0&amp;so=1&amp;pl=0&amp;pr=2&amp;po=1&amp;pq=0&amp;sp=1</t>
  </si>
  <si>
    <t>2025 Suzuki Swift
1.2 GL</t>
  </si>
  <si>
    <t>Avis Car Sales Wynberg</t>
  </si>
  <si>
    <t>https://www.autotrader.co.za/car-for-sale/volkswagen/polo-vivo/1.4/28303444?vf=6&amp;db=1&amp;s360=0&amp;so=1&amp;pl=1&amp;pr=5&amp;po=1&amp;pq=0&amp;sp=6</t>
  </si>
  <si>
    <t>2015 Volkswagen Polo Vivo
Hatch 1.4 Eclipse</t>
  </si>
  <si>
    <t>Barclay Motor World</t>
  </si>
  <si>
    <t>https://www.autotrader.co.za/car-for-sale/hyundai/grand-i10/motion/28414153?vf=6&amp;db=1&amp;s360=0&amp;so=1&amp;pl=0&amp;pr=2&amp;po=1&amp;pq=0&amp;sp=3</t>
  </si>
  <si>
    <t xml:space="preserve">2022 Hyundai Grand i10
1.0 Motion
</t>
  </si>
  <si>
    <t>http://autotrader.co.za/car-for-sale/volkswagen/golf/gti/28424578?vf=6&amp;db=1&amp;s360=0&amp;so=1&amp;pl=0&amp;pr=3&amp;po=1&amp;pq=0&amp;sp=3</t>
  </si>
  <si>
    <t>2017 Volkswagen Golf
GTI Auto</t>
  </si>
  <si>
    <t>Big Apple Motors</t>
  </si>
  <si>
    <t>https://www.autotrader.co.za/car-for-sale/volkswagen/polo/1.0tsi/28411195?vf=6&amp;db=1&amp;s360=0&amp;so=1&amp;pl=0&amp;pr=3&amp;po=1&amp;pq=0&amp;sp=3</t>
  </si>
  <si>
    <t>2020 Volkswagen Polo
Hatch 1.0TSI Comfortline</t>
  </si>
  <si>
    <t>Blackstone Asset Assistance</t>
  </si>
  <si>
    <t>https://www.autotrader.co.za/car-for-sale/renault/sandero/900t/28424338?vf=6&amp;db=1&amp;s360=0&amp;so=1&amp;pl=0&amp;pr=3&amp;po=1&amp;pq=0&amp;sp=2</t>
  </si>
  <si>
    <t>Blaize Point Auto</t>
  </si>
  <si>
    <t>2021 Renault Sandero
900T EXPRESS</t>
  </si>
  <si>
    <t>http://autotrader.co.za/car-for-sale/volkswagen/amarok/2.0bitdi/27845229?vf=6&amp;db=1&amp;s360=0&amp;so=1&amp;pl=0&amp;pr=3&amp;po=1&amp;pq=0&amp;sp=4</t>
  </si>
  <si>
    <t>2011 Volkswagen Amarok
2.0BiTDI Double Cab Highline 4Motion</t>
  </si>
  <si>
    <t>Bloomsbury</t>
  </si>
  <si>
    <t>https://www.autotrader.co.za/car-for-sale/toyota/hilux/2.8gd-6/28422942?vf=6&amp;db=1&amp;s360=0&amp;so=1&amp;pl=0&amp;pr=4&amp;po=1&amp;pq=0&amp;sp=3</t>
  </si>
  <si>
    <t>2019 Toyota Hilux
2.8GD-6 Xtra Cab Legend 50 Auto</t>
  </si>
  <si>
    <t>Blue Route Auto</t>
  </si>
  <si>
    <t>https://www.autotrader.co.za/car-for-sale/volvo/xc40/d4/27880882?vf=6&amp;db=0&amp;s360=0&amp;so=0&amp;pl=0&amp;pr=2&amp;po=1&amp;pq=0&amp;sp=1</t>
  </si>
  <si>
    <t>2018 Volvo XC40
D4 AWD Momentum</t>
  </si>
  <si>
    <t>CMH Multi-franchise Cape Town</t>
  </si>
  <si>
    <t>https://www.autotrader.co.za/car-for-sale/volkswagen/polo/1.0tsi/28419288?vf=6&amp;db=1&amp;s360=0&amp;so=1&amp;pl=0&amp;pr=2&amp;po=1&amp;pq=0&amp;sp=3</t>
  </si>
  <si>
    <t>2018 Volkswagen Polo
Hatch 1.0TSI Comfortline</t>
  </si>
  <si>
    <t>Car Finance Consultants</t>
  </si>
  <si>
    <t>https://www.autotrader.co.za/car-for-sale/ford/ranger/xls/28095756?vf=6&amp;db=1&amp;s360=0&amp;so=1&amp;pl=0&amp;pr=5&amp;po=1&amp;pq=0&amp;sp=3</t>
  </si>
  <si>
    <t>2012 Ford Ranger
3.2TDCi SuperCab 4x4 XLS Auto</t>
  </si>
  <si>
    <t>Car Mania</t>
  </si>
  <si>
    <t>https://www.autotrader.co.za/car-for-sale/toyota/hilux/2.8gd-6/28318363?vf=6&amp;db=0&amp;s360=0&amp;so=0&amp;pl=0&amp;pr=3&amp;po=1&amp;pq=0&amp;sp=1</t>
  </si>
  <si>
    <t>2017 Toyota Hilux
2.8GD-6 Double Cab Raider auto</t>
  </si>
  <si>
    <t>Car Net</t>
  </si>
  <si>
    <t>https://www.autotrader.co.za/car-for-sale/ford/ecosport/trend/28403543?vf=6&amp;db=1&amp;s360=0&amp;so=1&amp;pl=0&amp;pr=3&amp;po=1&amp;pq=0&amp;sp=3</t>
  </si>
  <si>
    <t>2016 Ford EcoSport
1.5TDCi Trend</t>
  </si>
  <si>
    <t>Cargen</t>
  </si>
  <si>
    <t>https://www.autotrader.co.za/car-for-sale/jeep/wrangler/sahara/28307289?vf=6&amp;db=1&amp;s360=0&amp;so=1&amp;pl=0&amp;pr=3&amp;po=1&amp;pq=0&amp;sp=4</t>
  </si>
  <si>
    <t>2014 Jeep Wrangler
3.6L Sahara</t>
  </si>
  <si>
    <t>Carmichael Xtreme</t>
  </si>
  <si>
    <t>https://www.autotrader.co.za/car-for-sale/nissan/np200/1.6/28425091?vf=6&amp;db=1&amp;s360=0&amp;so=1&amp;pl=0&amp;pr=3&amp;po=1&amp;pq=0&amp;sp=2</t>
  </si>
  <si>
    <t>2019 Nissan NP200
1.6i (Aircon) Safety Pack</t>
  </si>
  <si>
    <t>Carnections</t>
  </si>
  <si>
    <t>https://www.autotrader.co.za/car-for-sale/nissan/x-trail/2.5/28237374?vf=6&amp;db=1&amp;s360=0&amp;so=1&amp;pl=0&amp;pr=2&amp;po=1&amp;pq=0&amp;sp=2</t>
  </si>
  <si>
    <t>2019 Nissan X-Trail
2.5 4x4 Acenta Plus</t>
  </si>
  <si>
    <t>Carousel Motor Group</t>
  </si>
  <si>
    <t>https://www.autotrader.co.za/car-for-sale/volkswagen/polo/1.0tsi/28178643?vf=6&amp;db=1&amp;s360=0&amp;so=1&amp;pl=0&amp;pr=2&amp;po=1&amp;pq=0&amp;sp=3</t>
  </si>
  <si>
    <t>Cars 4 Africa</t>
  </si>
  <si>
    <t>https://www.autotrader.co.za/car-for-sale/audi/a3/1.8tfsi/28377605?vf=6&amp;db=0&amp;s360=0&amp;so=0&amp;pl=0&amp;pr=2&amp;po=1&amp;pq=0&amp;sp=1</t>
  </si>
  <si>
    <t>2015 Audi A3
Sedan 1.8TFSI SE Auto</t>
  </si>
  <si>
    <t>Cars For All</t>
  </si>
  <si>
    <t>https://www.autotrader.co.za/car-for-sale/land-rover/range-rover-sport/supercharged/28423783?vf=6&amp;db=0&amp;s360=0&amp;so=0&amp;pl=0&amp;pr=3&amp;po=1&amp;pq=0&amp;sp=1</t>
  </si>
  <si>
    <t>2017 Land Rover Range Rover Sport
HSE Dynamic Supercharged</t>
  </si>
  <si>
    <t>City Centre Cars (Pty) Ltd</t>
  </si>
  <si>
    <t>https://www.autotrader.co.za/car-for-sale/volkswagen/polo/1.0tsi/28379400?vf=6&amp;db=0&amp;s360=0&amp;so=0&amp;pl=0&amp;pr=3&amp;po=1&amp;pq=0&amp;sp=1</t>
  </si>
  <si>
    <t>2019 Volkswagen Polo
Hatch 1.0TSI Comfortline Auto</t>
  </si>
  <si>
    <t>Concorde Cars CC</t>
  </si>
  <si>
    <t>https://www.autotrader.co.za/car-for-sale/hyundai/venue/motion/28419884?vf=6&amp;db=1&amp;s360=0&amp;so=1&amp;pl=0&amp;pr=2&amp;po=1&amp;pq=0&amp;sp=3</t>
  </si>
  <si>
    <t xml:space="preserve">2023 Hyundai Venue
1.2 Motion
</t>
  </si>
  <si>
    <t>Constantiaberg Auto</t>
  </si>
  <si>
    <t>https://www.autotrader.co.za/car-for-sale/mercedes-benz/a-class/a250/28425366?vf=6&amp;db=0&amp;s360=0&amp;so=0&amp;pl=0&amp;pr=3&amp;po=1&amp;pq=0&amp;sp=1</t>
  </si>
  <si>
    <t>2020 Mercedes-Benz A-Class
A250 Hatch AMG Line</t>
  </si>
  <si>
    <t>Cubbi Cape Town</t>
  </si>
  <si>
    <t>https://www.autotrader.co.za/car-for-sale/jeep/wrangler/sahara/28139442?vf=6&amp;db=0&amp;s360=0&amp;so=0&amp;pl=0&amp;pr=2&amp;po=1&amp;pq=0&amp;sp=1</t>
  </si>
  <si>
    <t>2012 Jeep Wrangler
3.6L Sahara</t>
  </si>
  <si>
    <t>Cubbi George</t>
  </si>
  <si>
    <t>https://www.autotrader.co.za/car-for-sale/isuzu/d-max/250/28419820?vf=6&amp;db=1&amp;s360=0&amp;so=1&amp;pl=0&amp;pr=3&amp;po=1&amp;pq=0&amp;sp=1</t>
  </si>
  <si>
    <t>2019 Isuzu D-Max
250 Double Cab X-Rider</t>
  </si>
  <si>
    <t>Dart Motors</t>
  </si>
  <si>
    <t>https://www.autotrader.co.za/car-for-sale/ford/ranger/xl/28415424?vf=6&amp;db=0&amp;s360=0&amp;so=0&amp;pl=0&amp;pr=2&amp;po=1&amp;pq=0&amp;sp=1</t>
  </si>
  <si>
    <t>2017 Ford Ranger
2.2TDCi Double Cab Hi-Rider XL</t>
  </si>
  <si>
    <t>Deals 4 Wheels</t>
  </si>
  <si>
    <t>https://www.autotrader.co.za/car-for-sale/mercedes-benz/a-class/a220/28185703?vf=6&amp;db=1&amp;s360=0&amp;so=1&amp;pl=1&amp;pr=2&amp;po=1&amp;pq=0&amp;sp=6</t>
  </si>
  <si>
    <t>2017 Mercedes-Benz A-Class
A220d AMG Line</t>
  </si>
  <si>
    <t>Donlo Auto</t>
  </si>
  <si>
    <t>2018 Volkswagen Polo Vivo Hatch 1.4 Comfortlin</t>
  </si>
  <si>
    <t>email only</t>
  </si>
  <si>
    <t>https://www.autotrader.co.za/car-for-sale/suzuki/swift/ga/28387229?vf=6&amp;db=1&amp;s360=0&amp;so=1&amp;pl=0&amp;pr=3&amp;po=1&amp;pq=0&amp;sp=3</t>
  </si>
  <si>
    <t xml:space="preserve">2022 Suzuki Swift
1.2 GA
</t>
  </si>
  <si>
    <t>Dream 11 Cars</t>
  </si>
  <si>
    <t>https://www.autotrader.co.za/car-for-sale/porsche/944/944/27939551?vf=6&amp;db=0&amp;s360=0&amp;so=0&amp;pl=0&amp;pr=5&amp;po=1&amp;pq=0&amp;sp=1</t>
  </si>
  <si>
    <t>1986 Porsche 944
Turbo</t>
  </si>
  <si>
    <t>Driven Cars and Classics</t>
  </si>
  <si>
    <t>https://www.autotrader.co.za/car-for-sale/ford/ecosport/titanium/28409622?vf=6&amp;db=1&amp;s360=0&amp;so=1&amp;pl=0&amp;pr=2&amp;po=1&amp;pq=0&amp;sp=3</t>
  </si>
  <si>
    <t>2018 Ford EcoSport
1.5TDCi Titanium</t>
  </si>
  <si>
    <t>https://www.autotrader.co.za/car-for-sale/mercedes-benz/c-class/c200/28408207?vf=6&amp;db=1&amp;s360=0&amp;so=1&amp;pl=0&amp;pr=2&amp;po=1&amp;pq=0&amp;sp=3</t>
  </si>
  <si>
    <t>2018 Mercedes-Benz C-Class
C200 AMG Line Auto</t>
  </si>
  <si>
    <t>Ds Cars</t>
  </si>
  <si>
    <t>https://www.autotrader.co.za/car-for-sale/volkswagen/polo/1.0tsi/28419802?vf=6&amp;db=1&amp;s360=0&amp;so=1&amp;pl=0&amp;pr=2&amp;po=1&amp;pq=0&amp;sp=2</t>
  </si>
  <si>
    <t>2023 Volkswagen Polo
Hatch 1.0TSI 70kW</t>
  </si>
  <si>
    <t>Durbell Autos</t>
  </si>
  <si>
    <t>https://www.autotrader.co.za/car-for-sale/bmw/3-series/320i/28420000?vf=6&amp;db=1&amp;s360=0&amp;so=1&amp;pl=0&amp;pr=5&amp;po=1&amp;pq=0&amp;sp=3</t>
  </si>
  <si>
    <t>2011 BMW 3 Series
320i auto</t>
  </si>
  <si>
    <t>Eden Motors</t>
  </si>
  <si>
    <t>https://www.autotrader.co.za/car-for-sale/volkswagen/polo-vivo/1.4/28427127?vf=6&amp;db=1&amp;s360=0&amp;so=1&amp;pl=0&amp;pr=3&amp;po=1&amp;pq=0&amp;sp=3</t>
  </si>
  <si>
    <t>2013 Volkswagen Polo Vivo
5-Door 1.4 Trendline</t>
  </si>
  <si>
    <t>Elso Cars</t>
  </si>
  <si>
    <t>https://www.autotrader.co.za/car-for-sale/kia/seltos/ex/28422054?vf=6&amp;db=1&amp;s360=0&amp;so=1&amp;pl=0&amp;pr=2&amp;po=1&amp;pq=0&amp;sp=3</t>
  </si>
  <si>
    <t>2022 Kia Seltos
1.6 EX+</t>
  </si>
  <si>
    <t>Exclusive Auto Group</t>
  </si>
  <si>
    <t>https://www.autotrader.co.za/car-for-sale/volkswagen/caddy/2.0tdi/28416354?vf=6&amp;db=1&amp;s360=0&amp;so=1&amp;pl=0&amp;pr=2&amp;po=1&amp;pq=0&amp;sp=2</t>
  </si>
  <si>
    <t>2016 Volkswagen Caddy
Maxi 2.0TDI Panel Van</t>
  </si>
  <si>
    <t>F and S Auto CC</t>
  </si>
  <si>
    <t>https://www.autotrader.co.za/car-for-sale/hyundai/exter/1.2/28420774?vf=6&amp;db=1&amp;s360=0&amp;so=1&amp;pl=0&amp;pr=2&amp;po=1&amp;pq=0&amp;sp=3</t>
  </si>
  <si>
    <t xml:space="preserve">2025 Hyundai Exter
1.2 Executive Manual
</t>
  </si>
  <si>
    <t>Faizal Motors</t>
  </si>
  <si>
    <t>https://www.autotrader.co.za/car-for-sale/honda/jazz/1.5/28403840?vf=6&amp;db=1&amp;s360=0&amp;so=1&amp;pl=1&amp;pr=2&amp;po=1&amp;pq=0&amp;sp=6</t>
  </si>
  <si>
    <t xml:space="preserve">2017 Honda Jazz
1.5 Elegance
</t>
  </si>
  <si>
    <t>Far Auto</t>
  </si>
  <si>
    <t>https://www.autotrader.co.za/car-for-sale/volkswagen/polo/1.0tsi/28390519?vf=6&amp;db=1&amp;s360=0&amp;so=1&amp;pl=0&amp;pr=3&amp;po=1&amp;pq=0&amp;sp=1</t>
  </si>
  <si>
    <t>Fidato</t>
  </si>
  <si>
    <t>carmanie</t>
  </si>
  <si>
    <t>AutoTrader Car Listing Enquiry: 28095756 : 	
Ford Ranger 3.2TDCi SuperCab 4x4 XLS Auto</t>
  </si>
  <si>
    <t>email only : AutoTrader Car Listing Enquiry: 28422942 : randall@bluerouteauto.co.za Randall Davids</t>
  </si>
  <si>
    <t>email only : Lance Knoop : lance@carmania.co.za : Managing Owner</t>
  </si>
  <si>
    <t>no whatsapp : 
dean@drivenclassics.co.za :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</si>
</sst>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b/>
      <sz val="12"/>
      <color rgb="FF2F5496"/>
      <name val="Calibri"/>
    </font>
    <font>
      <b/>
      <sz val="11"/>
      <name val="Calibri"/>
    </font>
    <font>
      <i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rgb="FF2F5496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/>
    <xf numFmtId="0" fontId="0" fillId="3" borderId="1" xfId="0" applyFill="1" applyBorder="1"/>
    <xf numFmtId="0" fontId="6" fillId="3" borderId="1" xfId="1" applyFill="1" applyBorder="1"/>
    <xf numFmtId="20" fontId="0" fillId="3" borderId="1" xfId="0" applyNumberFormat="1" applyFill="1" applyBorder="1"/>
    <xf numFmtId="0" fontId="0" fillId="3" borderId="0" xfId="0" applyFill="1"/>
    <xf numFmtId="0" fontId="0" fillId="4" borderId="1" xfId="0" applyFill="1" applyBorder="1"/>
    <xf numFmtId="0" fontId="6" fillId="4" borderId="1" xfId="1" applyFill="1" applyBorder="1"/>
    <xf numFmtId="20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0" fontId="6" fillId="5" borderId="1" xfId="1" applyFill="1" applyBorder="1"/>
    <xf numFmtId="20" fontId="0" fillId="5" borderId="1" xfId="0" applyNumberFormat="1" applyFill="1" applyBorder="1"/>
    <xf numFmtId="0" fontId="0" fillId="5" borderId="0" xfId="0" applyFill="1"/>
    <xf numFmtId="0" fontId="0" fillId="3" borderId="0" xfId="0" applyFill="1" applyAlignment="1">
      <alignment wrapText="1"/>
    </xf>
    <xf numFmtId="0" fontId="6" fillId="3" borderId="0" xfId="1" applyFill="1" applyBorder="1"/>
    <xf numFmtId="22" fontId="6" fillId="3" borderId="0" xfId="1" applyNumberFormat="1" applyFill="1" applyBorder="1"/>
    <xf numFmtId="20" fontId="0" fillId="3" borderId="0" xfId="0" applyNumberFormat="1" applyFill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6" fillId="3" borderId="1" xfId="1" applyFill="1" applyBorder="1" applyAlignment="1">
      <alignment horizontal="left"/>
    </xf>
    <xf numFmtId="0" fontId="6" fillId="5" borderId="1" xfId="1" applyFill="1" applyBorder="1" applyAlignment="1">
      <alignment horizontal="left"/>
    </xf>
    <xf numFmtId="0" fontId="6" fillId="4" borderId="1" xfId="1" applyFill="1" applyBorder="1" applyAlignment="1">
      <alignment horizontal="left"/>
    </xf>
    <xf numFmtId="22" fontId="6" fillId="0" borderId="0" xfId="1" applyNumberFormat="1" applyFill="1" applyBorder="1" applyAlignment="1">
      <alignment horizontal="left"/>
    </xf>
    <xf numFmtId="22" fontId="6" fillId="3" borderId="0" xfId="1" applyNumberFormat="1" applyFill="1" applyBorder="1" applyAlignment="1">
      <alignment horizontal="left"/>
    </xf>
    <xf numFmtId="0" fontId="9" fillId="6" borderId="0" xfId="0" applyFont="1" applyFill="1" applyAlignment="1">
      <alignment horizontal="center" vertical="center" wrapText="1"/>
    </xf>
    <xf numFmtId="22" fontId="8" fillId="7" borderId="0" xfId="0" applyNumberFormat="1" applyFont="1" applyFill="1"/>
    <xf numFmtId="0" fontId="0" fillId="5" borderId="0" xfId="0" applyFill="1" applyAlignment="1">
      <alignment wrapText="1"/>
    </xf>
    <xf numFmtId="0" fontId="6" fillId="5" borderId="0" xfId="1" applyFill="1" applyBorder="1"/>
    <xf numFmtId="22" fontId="6" fillId="5" borderId="0" xfId="1" applyNumberFormat="1" applyFill="1" applyBorder="1" applyAlignment="1">
      <alignment horizontal="left"/>
    </xf>
    <xf numFmtId="20" fontId="0" fillId="5" borderId="0" xfId="0" applyNumberFormat="1" applyFill="1"/>
    <xf numFmtId="0" fontId="0" fillId="0" borderId="0" xfId="0" applyAlignment="1">
      <alignment wrapText="1"/>
    </xf>
    <xf numFmtId="22" fontId="0" fillId="3" borderId="0" xfId="0" applyNumberFormat="1" applyFill="1"/>
    <xf numFmtId="0" fontId="6" fillId="3" borderId="0" xfId="1" applyFill="1"/>
    <xf numFmtId="0" fontId="0" fillId="8" borderId="1" xfId="0" applyFill="1" applyBorder="1"/>
    <xf numFmtId="0" fontId="0" fillId="8" borderId="0" xfId="0" applyFill="1"/>
    <xf numFmtId="0" fontId="5" fillId="0" borderId="0" xfId="0" applyFont="1"/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22" fontId="0" fillId="3" borderId="0" xfId="0" applyNumberFormat="1" applyFill="1" applyAlignment="1">
      <alignment horizontal="left"/>
    </xf>
    <xf numFmtId="22" fontId="0" fillId="5" borderId="0" xfId="0" applyNumberFormat="1" applyFill="1" applyAlignment="1">
      <alignment horizontal="left"/>
    </xf>
    <xf numFmtId="0" fontId="0" fillId="4" borderId="0" xfId="0" applyFill="1" applyAlignment="1">
      <alignment wrapText="1"/>
    </xf>
    <xf numFmtId="22" fontId="0" fillId="4" borderId="0" xfId="0" applyNumberFormat="1" applyFill="1" applyAlignment="1">
      <alignment horizontal="left"/>
    </xf>
    <xf numFmtId="22" fontId="6" fillId="4" borderId="0" xfId="1" applyNumberFormat="1" applyFill="1" applyBorder="1" applyAlignment="1">
      <alignment horizontal="left"/>
    </xf>
    <xf numFmtId="0" fontId="6" fillId="4" borderId="0" xfId="1" applyFill="1" applyBorder="1"/>
    <xf numFmtId="20" fontId="0" fillId="4" borderId="0" xfId="0" applyNumberFormat="1" applyFill="1"/>
    <xf numFmtId="0" fontId="0" fillId="9" borderId="1" xfId="0" applyFill="1" applyBorder="1"/>
    <xf numFmtId="0" fontId="0" fillId="9" borderId="0" xfId="0" applyFill="1" applyAlignment="1">
      <alignment wrapText="1"/>
    </xf>
    <xf numFmtId="0" fontId="0" fillId="9" borderId="0" xfId="0" applyFill="1"/>
    <xf numFmtId="22" fontId="6" fillId="9" borderId="0" xfId="1" applyNumberFormat="1" applyFill="1" applyBorder="1" applyAlignment="1">
      <alignment horizontal="left"/>
    </xf>
    <xf numFmtId="0" fontId="0" fillId="10" borderId="1" xfId="0" applyFill="1" applyBorder="1"/>
    <xf numFmtId="0" fontId="0" fillId="10" borderId="0" xfId="0" applyFill="1" applyAlignment="1">
      <alignment wrapText="1"/>
    </xf>
    <xf numFmtId="0" fontId="0" fillId="10" borderId="0" xfId="0" applyFill="1"/>
    <xf numFmtId="22" fontId="0" fillId="10" borderId="0" xfId="0" applyNumberFormat="1" applyFill="1" applyAlignment="1">
      <alignment horizontal="left"/>
    </xf>
    <xf numFmtId="14" fontId="0" fillId="10" borderId="0" xfId="0" applyNumberFormat="1" applyFill="1"/>
    <xf numFmtId="0" fontId="0" fillId="8" borderId="0" xfId="0" applyFill="1" applyAlignment="1">
      <alignment wrapText="1"/>
    </xf>
    <xf numFmtId="22" fontId="0" fillId="8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utotrader.co.za/car-for-sale/hyundai/kona/executive/28413524" TargetMode="External"/><Relationship Id="rId18" Type="http://schemas.openxmlformats.org/officeDocument/2006/relationships/hyperlink" Target="https://www.autotrader.co.za/car-for-sale/isuzu/d-max/250/28409776" TargetMode="External"/><Relationship Id="rId26" Type="http://schemas.openxmlformats.org/officeDocument/2006/relationships/hyperlink" Target="https://www.autotrader.co.za/car-for-sale/fiat/500/riva/28419397?vf=6&amp;db=1&amp;s360=0&amp;so=1&amp;pl=0&amp;pr=5&amp;po=1&amp;pq=0&amp;sp=1" TargetMode="External"/><Relationship Id="rId3" Type="http://schemas.openxmlformats.org/officeDocument/2006/relationships/hyperlink" Target="https://www.autotrader.co.za/car-for-sale/jetour/dashing/1.5t/28417282" TargetMode="External"/><Relationship Id="rId21" Type="http://schemas.openxmlformats.org/officeDocument/2006/relationships/hyperlink" Target="https://www.autotrader.co.za/car-for-sale/toyota/hilux/2.4gd/28307479?vf=6&amp;db=1&amp;s360=0&amp;so=1&amp;pl=1&amp;pr=5&amp;po=1&amp;pq=0&amp;sp=6" TargetMode="External"/><Relationship Id="rId34" Type="http://schemas.openxmlformats.org/officeDocument/2006/relationships/hyperlink" Target="https://www.autotrader.co.za/car-for-sale/mercedes-benz/a-class/a220/28185703?vf=6&amp;db=1&amp;s360=0&amp;so=1&amp;pl=1&amp;pr=2&amp;po=1&amp;pq=0&amp;sp=6" TargetMode="External"/><Relationship Id="rId7" Type="http://schemas.openxmlformats.org/officeDocument/2006/relationships/hyperlink" Target="https://www.autotrader.co.za/car-for-sale/mercedes-benz/slk/slk350/28413478" TargetMode="External"/><Relationship Id="rId12" Type="http://schemas.openxmlformats.org/officeDocument/2006/relationships/hyperlink" Target="https://www.autotrader.co.za/car-for-sale/volkswagen/polo/gti/28410031" TargetMode="External"/><Relationship Id="rId17" Type="http://schemas.openxmlformats.org/officeDocument/2006/relationships/hyperlink" Target="https://www.autotrader.co.za/car-for-sale/land-rover/range-rover-evoque/d200/28411043" TargetMode="External"/><Relationship Id="rId25" Type="http://schemas.openxmlformats.org/officeDocument/2006/relationships/hyperlink" Target="https://www.autotrader.co.za/car-for-sale/land-rover/discovery-4/sdv6/28081421?vf=6&amp;db=1&amp;s360=0&amp;so=1&amp;pl=0&amp;pr=3&amp;po=1&amp;pq=0&amp;sp=3" TargetMode="External"/><Relationship Id="rId33" Type="http://schemas.openxmlformats.org/officeDocument/2006/relationships/hyperlink" Target="https://www.autotrader.co.za/car-for-sale/jeep/wrangler/sahara/28139442?vf=6&amp;db=0&amp;s360=0&amp;so=0&amp;pl=0&amp;pr=2&amp;po=1&amp;pq=0&amp;sp=1" TargetMode="External"/><Relationship Id="rId2" Type="http://schemas.openxmlformats.org/officeDocument/2006/relationships/hyperlink" Target="https://www.autotrader.co.za/car-for-sale/haval/h6-gt/luxury/28417304" TargetMode="External"/><Relationship Id="rId16" Type="http://schemas.openxmlformats.org/officeDocument/2006/relationships/hyperlink" Target="https://www.autotrader.co.za/car-for-sale/toyota/fortuner/2.4gd-6/28417581" TargetMode="External"/><Relationship Id="rId20" Type="http://schemas.openxmlformats.org/officeDocument/2006/relationships/hyperlink" Target="https://www.autotrader.co.za/car-for-sale/kia/picanto/1.2/28415590" TargetMode="External"/><Relationship Id="rId29" Type="http://schemas.openxmlformats.org/officeDocument/2006/relationships/hyperlink" Target="https://www.autotrader.co.za/car-for-sale/toyota/corolla-cross/1.8/28419846?vf=6&amp;db=1&amp;s360=0&amp;so=1&amp;pl=0&amp;pr=2&amp;po=1&amp;pq=0&amp;sp=2" TargetMode="External"/><Relationship Id="rId1" Type="http://schemas.openxmlformats.org/officeDocument/2006/relationships/hyperlink" Target="https://www.autotrader.co.za/car-for-sale/volkswagen/amarok/2.0bitdi/28417706" TargetMode="External"/><Relationship Id="rId6" Type="http://schemas.openxmlformats.org/officeDocument/2006/relationships/hyperlink" Target="https://www.autotrader.co.za/car-for-sale/gwm/p-series/ltd/28408961" TargetMode="External"/><Relationship Id="rId11" Type="http://schemas.openxmlformats.org/officeDocument/2006/relationships/hyperlink" Target="https://www.autotrader.co.za/car-for-sale/volkswagen/tiguan/2.0tsi/28415602" TargetMode="External"/><Relationship Id="rId24" Type="http://schemas.openxmlformats.org/officeDocument/2006/relationships/hyperlink" Target="https://www.autotrader.co.za/car-for-sale/ford/ranger/xl/28417786?vf=6&amp;db=1&amp;s360=0&amp;so=1&amp;pl=0&amp;pr=3&amp;po=1&amp;pq=0&amp;sp=3" TargetMode="External"/><Relationship Id="rId32" Type="http://schemas.openxmlformats.org/officeDocument/2006/relationships/hyperlink" Target="https://www.autotrader.co.za/car-for-sale/mercedes-benz/c-class/c250/28406679?vf=6&amp;db=1&amp;s360=0&amp;so=1&amp;pl=0&amp;pr=5&amp;po=1&amp;pq=0&amp;sp=3" TargetMode="External"/><Relationship Id="rId5" Type="http://schemas.openxmlformats.org/officeDocument/2006/relationships/hyperlink" Target="https://www.autotrader.co.za/car-for-sale/hyundai/grand-i10/motion/28414153" TargetMode="External"/><Relationship Id="rId15" Type="http://schemas.openxmlformats.org/officeDocument/2006/relationships/hyperlink" Target="https://www.autotrader.co.za/car-for-sale/isuzu/d-max/1.9/28405017" TargetMode="External"/><Relationship Id="rId23" Type="http://schemas.openxmlformats.org/officeDocument/2006/relationships/hyperlink" Target="https://www.autotrader.co.za/car-for-sale/toyota/etios/sprint/28186423?vf=6&amp;db=1&amp;s360=0&amp;so=1&amp;pl=0&amp;pr=2&amp;po=1&amp;pq=0&amp;sp=3" TargetMode="External"/><Relationship Id="rId28" Type="http://schemas.openxmlformats.org/officeDocument/2006/relationships/hyperlink" Target="https://www.autotrader.co.za/car-for-sale/land-rover/discovery/td6/28377257?vf=6&amp;db=1&amp;s360=0&amp;so=1&amp;pl=1&amp;pr=3&amp;po=1&amp;pq=0&amp;sp=6" TargetMode="External"/><Relationship Id="rId10" Type="http://schemas.openxmlformats.org/officeDocument/2006/relationships/hyperlink" Target="https://www.autotrader.co.za/car-for-sale/volkswagen/t-cross/1.5tsi/28411127" TargetMode="External"/><Relationship Id="rId19" Type="http://schemas.openxmlformats.org/officeDocument/2006/relationships/hyperlink" Target="https://www.autotrader.co.za/car-for-sale/land-rover/defender/110/28406113" TargetMode="External"/><Relationship Id="rId31" Type="http://schemas.openxmlformats.org/officeDocument/2006/relationships/hyperlink" Target="https://www.autotrader.co.za/car-for-sale/volkswagen/caddy/2.0tdi/28412951?vf=6&amp;db=1&amp;s360=0&amp;so=1&amp;pl=0&amp;pr=5&amp;po=1&amp;pq=0&amp;sp=4" TargetMode="External"/><Relationship Id="rId4" Type="http://schemas.openxmlformats.org/officeDocument/2006/relationships/hyperlink" Target="https://www.autotrader.co.za/car-for-sale/kia/sorento/2.2/28415393" TargetMode="External"/><Relationship Id="rId9" Type="http://schemas.openxmlformats.org/officeDocument/2006/relationships/hyperlink" Target="https://www.autotrader.co.za/car-for-sale/jetour/x70-plus/1.5t/28413186" TargetMode="External"/><Relationship Id="rId14" Type="http://schemas.openxmlformats.org/officeDocument/2006/relationships/hyperlink" Target="https://www.autotrader.co.za/car-for-sale/ford/tourneo-custom/ambiente/28396761" TargetMode="External"/><Relationship Id="rId22" Type="http://schemas.openxmlformats.org/officeDocument/2006/relationships/hyperlink" Target="https://www.autotrader.co.za/car-for-sale/mercedes-benz/a-class/a200/28418525?vf=6&amp;db=1&amp;s360=0&amp;so=1&amp;pl=0&amp;pr=3&amp;po=1&amp;pq=0&amp;sp=3" TargetMode="External"/><Relationship Id="rId27" Type="http://schemas.openxmlformats.org/officeDocument/2006/relationships/hyperlink" Target="https://www.autotrader.co.za/car-for-sale/bmw/1-series/m135i/28420831?vf=6&amp;db=1&amp;s360=0&amp;so=1&amp;pl=0&amp;pr=3&amp;po=1&amp;pq=0&amp;sp=3" TargetMode="External"/><Relationship Id="rId30" Type="http://schemas.openxmlformats.org/officeDocument/2006/relationships/hyperlink" Target="https://www.autotrader.co.za/car-for-sale/volkswagen/t-cross/1.0tsi/28249154?vf=6&amp;db=1&amp;s360=0&amp;so=1&amp;pl=1&amp;pr=2&amp;po=1&amp;pq=0&amp;sp=6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autotrader.co.za/car-for-sale/volkswagen/amarok/3.0tdi/28413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topLeftCell="A3" zoomScale="81" workbookViewId="0">
      <pane ySplit="1" topLeftCell="A93" activePane="bottomLeft" state="frozen"/>
      <selection activeCell="A3" sqref="A3"/>
      <selection pane="bottomLeft" activeCell="C99" sqref="C99"/>
    </sheetView>
  </sheetViews>
  <sheetFormatPr defaultRowHeight="15" x14ac:dyDescent="0.25"/>
  <cols>
    <col min="1" max="1" width="5" customWidth="1"/>
    <col min="2" max="2" width="38.7109375" customWidth="1"/>
    <col min="3" max="3" width="39.42578125" customWidth="1"/>
    <col min="4" max="4" width="59.7109375" customWidth="1"/>
    <col min="5" max="5" width="19" style="20" customWidth="1"/>
    <col min="6" max="6" width="20" customWidth="1"/>
    <col min="7" max="7" width="15" customWidth="1"/>
    <col min="8" max="8" width="20" customWidth="1"/>
    <col min="9" max="9" width="18" customWidth="1"/>
    <col min="10" max="11" width="35" customWidth="1"/>
    <col min="12" max="12" width="16.7109375" bestFit="1" customWidth="1"/>
  </cols>
  <sheetData>
    <row r="1" spans="1:12" ht="30" hidden="1" customHeight="1" x14ac:dyDescent="0.3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2" hidden="1" x14ac:dyDescent="0.25"/>
    <row r="3" spans="1:12" ht="24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21"/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7" t="s">
        <v>162</v>
      </c>
      <c r="L3" s="28">
        <f ca="1">NOW()</f>
        <v>46075.944988425923</v>
      </c>
    </row>
    <row r="4" spans="1:12" s="7" customFormat="1" x14ac:dyDescent="0.25">
      <c r="A4" s="4">
        <v>1</v>
      </c>
      <c r="B4" s="4" t="s">
        <v>10</v>
      </c>
      <c r="C4" s="4" t="s">
        <v>61</v>
      </c>
      <c r="D4" s="5" t="s">
        <v>11</v>
      </c>
      <c r="E4" s="22" t="s">
        <v>84</v>
      </c>
      <c r="F4" s="6">
        <v>0</v>
      </c>
      <c r="G4" s="4" t="s">
        <v>81</v>
      </c>
      <c r="H4" s="6">
        <v>9.8611111111111108E-2</v>
      </c>
      <c r="I4" s="4"/>
      <c r="J4" s="4"/>
    </row>
    <row r="5" spans="1:12" s="15" customFormat="1" x14ac:dyDescent="0.25">
      <c r="A5" s="12">
        <v>2</v>
      </c>
      <c r="B5" s="12" t="s">
        <v>12</v>
      </c>
      <c r="C5" s="12" t="s">
        <v>62</v>
      </c>
      <c r="D5" s="13" t="s">
        <v>13</v>
      </c>
      <c r="E5" s="23" t="s">
        <v>84</v>
      </c>
      <c r="F5" s="14">
        <v>0</v>
      </c>
      <c r="G5" s="12" t="s">
        <v>83</v>
      </c>
      <c r="H5" s="12"/>
      <c r="I5" s="12"/>
      <c r="J5" s="12"/>
    </row>
    <row r="6" spans="1:12" s="15" customFormat="1" x14ac:dyDescent="0.25">
      <c r="A6" s="12">
        <v>3</v>
      </c>
      <c r="B6" s="12" t="s">
        <v>14</v>
      </c>
      <c r="C6" s="12" t="s">
        <v>63</v>
      </c>
      <c r="D6" s="13" t="s">
        <v>15</v>
      </c>
      <c r="E6" s="23" t="s">
        <v>84</v>
      </c>
      <c r="F6" s="14">
        <v>0</v>
      </c>
      <c r="G6" s="12" t="s">
        <v>83</v>
      </c>
      <c r="H6" s="12"/>
      <c r="I6" s="12"/>
      <c r="J6" s="12"/>
    </row>
    <row r="7" spans="1:12" s="7" customFormat="1" x14ac:dyDescent="0.25">
      <c r="A7" s="4">
        <v>4</v>
      </c>
      <c r="B7" s="4" t="s">
        <v>16</v>
      </c>
      <c r="C7" s="4" t="s">
        <v>64</v>
      </c>
      <c r="D7" s="5" t="s">
        <v>17</v>
      </c>
      <c r="E7" s="22" t="s">
        <v>84</v>
      </c>
      <c r="F7" s="6">
        <v>0</v>
      </c>
      <c r="G7" s="4" t="s">
        <v>81</v>
      </c>
      <c r="H7" s="6">
        <v>0.40208333333333335</v>
      </c>
      <c r="I7" s="4"/>
      <c r="J7" s="4"/>
    </row>
    <row r="8" spans="1:12" s="7" customFormat="1" x14ac:dyDescent="0.25">
      <c r="A8" s="4">
        <v>5</v>
      </c>
      <c r="B8" s="4" t="s">
        <v>18</v>
      </c>
      <c r="C8" s="4" t="s">
        <v>65</v>
      </c>
      <c r="D8" s="5" t="s">
        <v>19</v>
      </c>
      <c r="E8" s="22" t="s">
        <v>84</v>
      </c>
      <c r="F8" s="6">
        <v>0</v>
      </c>
      <c r="G8" s="4" t="s">
        <v>81</v>
      </c>
      <c r="H8" s="6">
        <v>0.3888888888888889</v>
      </c>
      <c r="I8" s="4"/>
      <c r="J8" s="4"/>
    </row>
    <row r="9" spans="1:12" s="7" customFormat="1" x14ac:dyDescent="0.25">
      <c r="A9" s="4">
        <v>6</v>
      </c>
      <c r="B9" s="4" t="s">
        <v>20</v>
      </c>
      <c r="C9" s="4" t="s">
        <v>66</v>
      </c>
      <c r="D9" s="5" t="s">
        <v>21</v>
      </c>
      <c r="E9" s="22" t="s">
        <v>84</v>
      </c>
      <c r="F9" s="6">
        <v>0</v>
      </c>
      <c r="G9" s="4" t="s">
        <v>81</v>
      </c>
      <c r="H9" s="6">
        <v>0.34722222222222221</v>
      </c>
      <c r="I9" s="4"/>
      <c r="J9" s="4"/>
    </row>
    <row r="10" spans="1:12" s="7" customFormat="1" x14ac:dyDescent="0.25">
      <c r="A10" s="4">
        <v>7</v>
      </c>
      <c r="B10" s="4" t="s">
        <v>22</v>
      </c>
      <c r="C10" s="4" t="s">
        <v>67</v>
      </c>
      <c r="D10" s="5" t="s">
        <v>23</v>
      </c>
      <c r="E10" s="22" t="s">
        <v>84</v>
      </c>
      <c r="F10" s="6">
        <v>0</v>
      </c>
      <c r="G10" s="4"/>
      <c r="H10" s="6">
        <v>0.44236111111111109</v>
      </c>
      <c r="I10" s="4"/>
      <c r="J10" s="4"/>
    </row>
    <row r="11" spans="1:12" s="15" customFormat="1" x14ac:dyDescent="0.25">
      <c r="A11" s="12">
        <v>8</v>
      </c>
      <c r="B11" s="12" t="s">
        <v>24</v>
      </c>
      <c r="C11" s="12" t="s">
        <v>68</v>
      </c>
      <c r="D11" s="13" t="s">
        <v>25</v>
      </c>
      <c r="E11" s="23" t="s">
        <v>84</v>
      </c>
      <c r="F11" s="14">
        <v>0</v>
      </c>
      <c r="G11" s="12" t="s">
        <v>83</v>
      </c>
      <c r="H11" s="12"/>
      <c r="I11" s="12"/>
      <c r="J11" s="12"/>
    </row>
    <row r="12" spans="1:12" s="15" customFormat="1" x14ac:dyDescent="0.25">
      <c r="A12" s="12">
        <v>9</v>
      </c>
      <c r="B12" s="12" t="s">
        <v>26</v>
      </c>
      <c r="C12" s="12" t="s">
        <v>69</v>
      </c>
      <c r="D12" s="13" t="s">
        <v>27</v>
      </c>
      <c r="E12" s="23" t="s">
        <v>84</v>
      </c>
      <c r="F12" s="14">
        <v>0</v>
      </c>
      <c r="G12" s="12" t="s">
        <v>83</v>
      </c>
      <c r="H12" s="12"/>
      <c r="I12" s="12"/>
      <c r="J12" s="12"/>
    </row>
    <row r="13" spans="1:12" s="7" customFormat="1" x14ac:dyDescent="0.25">
      <c r="A13" s="4">
        <v>10</v>
      </c>
      <c r="B13" s="4" t="s">
        <v>28</v>
      </c>
      <c r="C13" s="4" t="s">
        <v>70</v>
      </c>
      <c r="D13" s="5" t="s">
        <v>29</v>
      </c>
      <c r="E13" s="22" t="s">
        <v>84</v>
      </c>
      <c r="F13" s="6">
        <v>0</v>
      </c>
      <c r="G13" s="4" t="s">
        <v>81</v>
      </c>
      <c r="H13" s="6">
        <v>9.0277777777777769E-3</v>
      </c>
      <c r="I13" s="6">
        <f>H13-F13</f>
        <v>9.0277777777777769E-3</v>
      </c>
      <c r="J13" s="4"/>
    </row>
    <row r="14" spans="1:12" s="7" customFormat="1" x14ac:dyDescent="0.25">
      <c r="A14" s="4">
        <v>11</v>
      </c>
      <c r="B14" s="4" t="s">
        <v>30</v>
      </c>
      <c r="C14" s="4" t="s">
        <v>71</v>
      </c>
      <c r="D14" s="5" t="s">
        <v>31</v>
      </c>
      <c r="E14" s="22" t="s">
        <v>84</v>
      </c>
      <c r="F14" s="6">
        <v>0</v>
      </c>
      <c r="G14" s="4" t="s">
        <v>81</v>
      </c>
      <c r="H14" s="6">
        <v>0.10138888888888889</v>
      </c>
      <c r="I14" s="4"/>
      <c r="J14" s="4"/>
    </row>
    <row r="15" spans="1:12" x14ac:dyDescent="0.25">
      <c r="A15" s="12">
        <v>12</v>
      </c>
      <c r="B15" s="12" t="s">
        <v>32</v>
      </c>
      <c r="C15" s="12" t="s">
        <v>72</v>
      </c>
      <c r="D15" s="13" t="s">
        <v>33</v>
      </c>
      <c r="E15" s="23" t="s">
        <v>84</v>
      </c>
      <c r="F15" s="3">
        <v>0</v>
      </c>
      <c r="G15" s="2" t="s">
        <v>83</v>
      </c>
      <c r="H15" s="2"/>
      <c r="I15" s="2"/>
      <c r="J15" s="2"/>
    </row>
    <row r="16" spans="1:12" s="11" customFormat="1" x14ac:dyDescent="0.25">
      <c r="A16" s="8">
        <v>13</v>
      </c>
      <c r="B16" s="8" t="s">
        <v>34</v>
      </c>
      <c r="C16" s="8" t="s">
        <v>73</v>
      </c>
      <c r="D16" s="9" t="s">
        <v>35</v>
      </c>
      <c r="E16" s="24" t="s">
        <v>84</v>
      </c>
      <c r="F16" s="10">
        <v>0</v>
      </c>
      <c r="G16" s="8" t="s">
        <v>81</v>
      </c>
      <c r="H16" s="10">
        <v>0.45069444444444445</v>
      </c>
      <c r="I16" s="8"/>
      <c r="J16" s="8" t="s">
        <v>87</v>
      </c>
    </row>
    <row r="17" spans="1:10" x14ac:dyDescent="0.25">
      <c r="A17" s="12">
        <v>14</v>
      </c>
      <c r="B17" s="12" t="s">
        <v>36</v>
      </c>
      <c r="C17" s="12" t="s">
        <v>74</v>
      </c>
      <c r="D17" s="13" t="s">
        <v>37</v>
      </c>
      <c r="E17" s="23" t="s">
        <v>84</v>
      </c>
      <c r="F17" s="3">
        <v>0</v>
      </c>
      <c r="G17" s="2" t="s">
        <v>83</v>
      </c>
      <c r="H17" s="2"/>
      <c r="I17" s="2"/>
      <c r="J17" s="2"/>
    </row>
    <row r="18" spans="1:10" s="7" customFormat="1" x14ac:dyDescent="0.25">
      <c r="A18" s="4">
        <v>15</v>
      </c>
      <c r="B18" s="4" t="s">
        <v>38</v>
      </c>
      <c r="C18" s="4" t="s">
        <v>75</v>
      </c>
      <c r="D18" s="5" t="s">
        <v>39</v>
      </c>
      <c r="E18" s="22" t="s">
        <v>84</v>
      </c>
      <c r="F18" s="6">
        <v>0</v>
      </c>
      <c r="G18" s="4" t="s">
        <v>81</v>
      </c>
      <c r="H18" s="6">
        <v>0.37152777777777779</v>
      </c>
      <c r="I18" s="4"/>
      <c r="J18" s="4"/>
    </row>
    <row r="19" spans="1:10" x14ac:dyDescent="0.25">
      <c r="A19" s="12">
        <v>16</v>
      </c>
      <c r="B19" s="12" t="s">
        <v>40</v>
      </c>
      <c r="C19" s="12" t="s">
        <v>76</v>
      </c>
      <c r="D19" s="13" t="s">
        <v>41</v>
      </c>
      <c r="E19" s="23" t="s">
        <v>84</v>
      </c>
      <c r="F19" s="3">
        <v>0</v>
      </c>
      <c r="G19" s="2" t="s">
        <v>83</v>
      </c>
      <c r="H19" s="2"/>
      <c r="I19" s="2"/>
      <c r="J19" s="2"/>
    </row>
    <row r="20" spans="1:10" x14ac:dyDescent="0.25">
      <c r="A20" s="12">
        <v>17</v>
      </c>
      <c r="B20" s="12" t="s">
        <v>42</v>
      </c>
      <c r="C20" s="12" t="s">
        <v>77</v>
      </c>
      <c r="D20" s="13" t="s">
        <v>43</v>
      </c>
      <c r="E20" s="23" t="s">
        <v>84</v>
      </c>
      <c r="F20" s="3">
        <v>0</v>
      </c>
      <c r="G20" s="2" t="s">
        <v>83</v>
      </c>
      <c r="H20" s="2"/>
      <c r="I20" s="2"/>
      <c r="J20" s="2"/>
    </row>
    <row r="21" spans="1:10" s="7" customFormat="1" x14ac:dyDescent="0.25">
      <c r="A21" s="4">
        <v>18</v>
      </c>
      <c r="B21" s="4" t="s">
        <v>44</v>
      </c>
      <c r="C21" s="4" t="s">
        <v>78</v>
      </c>
      <c r="D21" s="5" t="s">
        <v>45</v>
      </c>
      <c r="E21" s="22" t="s">
        <v>84</v>
      </c>
      <c r="F21" s="6">
        <v>0</v>
      </c>
      <c r="G21" s="4" t="s">
        <v>81</v>
      </c>
      <c r="H21" s="6">
        <v>0.41666666666666669</v>
      </c>
      <c r="I21" s="4"/>
      <c r="J21" s="4"/>
    </row>
    <row r="22" spans="1:10" s="11" customFormat="1" x14ac:dyDescent="0.25">
      <c r="A22" s="8">
        <v>19</v>
      </c>
      <c r="B22" s="8" t="s">
        <v>46</v>
      </c>
      <c r="C22" s="8" t="s">
        <v>79</v>
      </c>
      <c r="D22" s="9" t="s">
        <v>47</v>
      </c>
      <c r="E22" s="24" t="s">
        <v>84</v>
      </c>
      <c r="F22" s="10">
        <v>0</v>
      </c>
      <c r="G22" s="8" t="s">
        <v>81</v>
      </c>
      <c r="H22" s="10">
        <v>0.33333333333333331</v>
      </c>
      <c r="I22" s="8"/>
      <c r="J22" s="8" t="s">
        <v>82</v>
      </c>
    </row>
    <row r="23" spans="1:10" s="7" customFormat="1" x14ac:dyDescent="0.25">
      <c r="A23" s="4">
        <v>20</v>
      </c>
      <c r="B23" s="4" t="s">
        <v>48</v>
      </c>
      <c r="C23" s="4" t="s">
        <v>80</v>
      </c>
      <c r="D23" s="5" t="s">
        <v>49</v>
      </c>
      <c r="E23" s="22" t="s">
        <v>84</v>
      </c>
      <c r="F23" s="6">
        <v>0</v>
      </c>
      <c r="G23" s="4" t="s">
        <v>81</v>
      </c>
      <c r="H23" s="6">
        <v>0.32291666666666669</v>
      </c>
      <c r="I23" s="4"/>
      <c r="J23" s="4"/>
    </row>
    <row r="24" spans="1:10" s="15" customFormat="1" x14ac:dyDescent="0.25">
      <c r="A24" s="12">
        <v>21</v>
      </c>
      <c r="B24" s="15" t="s">
        <v>85</v>
      </c>
      <c r="C24" s="15" t="s">
        <v>86</v>
      </c>
      <c r="D24" s="30" t="s">
        <v>160</v>
      </c>
      <c r="E24" s="31" t="s">
        <v>161</v>
      </c>
      <c r="F24" s="32"/>
      <c r="H24" s="32"/>
    </row>
    <row r="25" spans="1:10" s="7" customFormat="1" x14ac:dyDescent="0.25">
      <c r="A25" s="4">
        <v>22</v>
      </c>
      <c r="B25" s="16" t="s">
        <v>89</v>
      </c>
      <c r="C25" s="7" t="s">
        <v>90</v>
      </c>
      <c r="D25" s="17" t="s">
        <v>88</v>
      </c>
      <c r="E25" s="26">
        <v>46069.879861111112</v>
      </c>
      <c r="F25" s="19"/>
      <c r="G25" s="7" t="s">
        <v>81</v>
      </c>
      <c r="H25" s="18">
        <v>46069.879861111112</v>
      </c>
    </row>
    <row r="26" spans="1:10" s="15" customFormat="1" ht="30" x14ac:dyDescent="0.25">
      <c r="A26" s="12">
        <v>23</v>
      </c>
      <c r="B26" s="29" t="s">
        <v>92</v>
      </c>
      <c r="C26" s="15" t="s">
        <v>93</v>
      </c>
      <c r="D26" s="30" t="s">
        <v>91</v>
      </c>
      <c r="E26" s="31">
        <v>46069.879861111112</v>
      </c>
      <c r="F26" s="32"/>
      <c r="H26" s="32"/>
    </row>
    <row r="27" spans="1:10" s="7" customFormat="1" ht="30" x14ac:dyDescent="0.25">
      <c r="A27" s="4">
        <v>24</v>
      </c>
      <c r="B27" s="16" t="s">
        <v>94</v>
      </c>
      <c r="C27" s="7" t="s">
        <v>95</v>
      </c>
      <c r="D27" s="17" t="s">
        <v>96</v>
      </c>
      <c r="E27" s="26">
        <v>46069.879861111112</v>
      </c>
      <c r="F27" s="19"/>
      <c r="G27" s="7" t="s">
        <v>81</v>
      </c>
      <c r="H27" s="18">
        <v>46070.384027777778</v>
      </c>
    </row>
    <row r="28" spans="1:10" s="15" customFormat="1" ht="45" x14ac:dyDescent="0.25">
      <c r="A28" s="12">
        <v>25</v>
      </c>
      <c r="B28" s="29" t="s">
        <v>98</v>
      </c>
      <c r="C28" s="15" t="s">
        <v>99</v>
      </c>
      <c r="D28" s="30" t="s">
        <v>97</v>
      </c>
      <c r="E28" s="31">
        <v>46069.879861111112</v>
      </c>
      <c r="F28" s="32"/>
      <c r="H28" s="32"/>
    </row>
    <row r="29" spans="1:10" s="7" customFormat="1" ht="30" x14ac:dyDescent="0.25">
      <c r="A29" s="4">
        <v>26</v>
      </c>
      <c r="B29" s="16" t="s">
        <v>101</v>
      </c>
      <c r="C29" s="7" t="s">
        <v>102</v>
      </c>
      <c r="D29" s="17" t="s">
        <v>100</v>
      </c>
      <c r="E29" s="26">
        <v>46069.879861111112</v>
      </c>
      <c r="F29" s="19"/>
      <c r="G29" s="7" t="s">
        <v>81</v>
      </c>
      <c r="H29" s="18">
        <v>46069.879861111112</v>
      </c>
    </row>
    <row r="30" spans="1:10" s="7" customFormat="1" ht="30" x14ac:dyDescent="0.25">
      <c r="A30" s="4">
        <v>27</v>
      </c>
      <c r="B30" s="16" t="s">
        <v>104</v>
      </c>
      <c r="C30" s="7" t="s">
        <v>105</v>
      </c>
      <c r="D30" s="17" t="s">
        <v>103</v>
      </c>
      <c r="E30" s="26">
        <v>46069.879861111112</v>
      </c>
      <c r="F30" s="19"/>
      <c r="G30" s="7" t="s">
        <v>81</v>
      </c>
      <c r="H30" s="18">
        <v>46070.384027777778</v>
      </c>
    </row>
    <row r="31" spans="1:10" s="7" customFormat="1" ht="30" x14ac:dyDescent="0.25">
      <c r="A31" s="4">
        <v>28</v>
      </c>
      <c r="B31" s="16" t="s">
        <v>107</v>
      </c>
      <c r="C31" s="7" t="s">
        <v>108</v>
      </c>
      <c r="D31" s="17" t="s">
        <v>106</v>
      </c>
      <c r="E31" s="26">
        <v>46069.879861111112</v>
      </c>
      <c r="F31" s="19"/>
      <c r="G31" s="7" t="s">
        <v>81</v>
      </c>
      <c r="H31" s="18">
        <v>46070.5</v>
      </c>
    </row>
    <row r="32" spans="1:10" s="7" customFormat="1" ht="45" x14ac:dyDescent="0.25">
      <c r="A32" s="4">
        <v>29</v>
      </c>
      <c r="B32" s="16" t="s">
        <v>110</v>
      </c>
      <c r="C32" s="7" t="s">
        <v>111</v>
      </c>
      <c r="D32" s="17" t="s">
        <v>109</v>
      </c>
      <c r="E32" s="26">
        <v>46069.879861111112</v>
      </c>
      <c r="F32" s="19"/>
      <c r="G32" s="7" t="s">
        <v>81</v>
      </c>
      <c r="H32" s="18">
        <v>46070.342361111114</v>
      </c>
    </row>
    <row r="33" spans="1:8" s="15" customFormat="1" ht="30" x14ac:dyDescent="0.25">
      <c r="A33" s="12">
        <v>30</v>
      </c>
      <c r="B33" s="29" t="s">
        <v>113</v>
      </c>
      <c r="C33" s="15" t="s">
        <v>114</v>
      </c>
      <c r="D33" s="30" t="s">
        <v>112</v>
      </c>
      <c r="E33" s="31">
        <v>46069.879861111112</v>
      </c>
      <c r="F33" s="32"/>
      <c r="H33" s="32"/>
    </row>
    <row r="34" spans="1:8" s="15" customFormat="1" ht="30" x14ac:dyDescent="0.25">
      <c r="A34" s="12">
        <v>31</v>
      </c>
      <c r="B34" s="29" t="s">
        <v>116</v>
      </c>
      <c r="C34" s="15" t="s">
        <v>117</v>
      </c>
      <c r="D34" s="30" t="s">
        <v>115</v>
      </c>
      <c r="E34" s="31">
        <v>46069.879861111112</v>
      </c>
      <c r="F34" s="32"/>
      <c r="H34" s="32"/>
    </row>
    <row r="35" spans="1:8" s="7" customFormat="1" ht="45" x14ac:dyDescent="0.25">
      <c r="A35" s="4">
        <v>32</v>
      </c>
      <c r="B35" s="16" t="s">
        <v>119</v>
      </c>
      <c r="C35" s="7" t="s">
        <v>120</v>
      </c>
      <c r="D35" s="17" t="s">
        <v>118</v>
      </c>
      <c r="E35" s="26">
        <v>46069.879861111112</v>
      </c>
      <c r="F35" s="19"/>
      <c r="G35" s="7" t="s">
        <v>81</v>
      </c>
      <c r="H35" s="18">
        <v>46070.270833333336</v>
      </c>
    </row>
    <row r="36" spans="1:8" s="7" customFormat="1" ht="30" x14ac:dyDescent="0.25">
      <c r="A36" s="4">
        <v>33</v>
      </c>
      <c r="B36" s="16" t="s">
        <v>122</v>
      </c>
      <c r="C36" s="7" t="s">
        <v>123</v>
      </c>
      <c r="D36" s="17" t="s">
        <v>121</v>
      </c>
      <c r="E36" s="26">
        <v>46069.879861111112</v>
      </c>
      <c r="F36" s="19"/>
      <c r="G36" s="7" t="s">
        <v>81</v>
      </c>
      <c r="H36" s="18">
        <v>46070.416666666664</v>
      </c>
    </row>
    <row r="37" spans="1:8" s="7" customFormat="1" ht="30" x14ac:dyDescent="0.25">
      <c r="A37" s="4">
        <v>34</v>
      </c>
      <c r="B37" s="16" t="s">
        <v>125</v>
      </c>
      <c r="C37" s="7" t="s">
        <v>126</v>
      </c>
      <c r="D37" s="17" t="s">
        <v>124</v>
      </c>
      <c r="E37" s="26">
        <v>46069.879861111112</v>
      </c>
      <c r="F37" s="19"/>
      <c r="G37" s="7" t="s">
        <v>81</v>
      </c>
      <c r="H37" s="18">
        <v>46070.416666666664</v>
      </c>
    </row>
    <row r="38" spans="1:8" s="7" customFormat="1" ht="30" x14ac:dyDescent="0.25">
      <c r="A38" s="4">
        <v>35</v>
      </c>
      <c r="B38" s="16" t="s">
        <v>128</v>
      </c>
      <c r="C38" s="7" t="s">
        <v>129</v>
      </c>
      <c r="D38" s="17" t="s">
        <v>127</v>
      </c>
      <c r="E38" s="26">
        <v>46069.879861111112</v>
      </c>
      <c r="F38" s="19"/>
      <c r="G38" s="7" t="s">
        <v>81</v>
      </c>
      <c r="H38" s="18">
        <v>46070.384027777778</v>
      </c>
    </row>
    <row r="39" spans="1:8" s="7" customFormat="1" ht="30" x14ac:dyDescent="0.25">
      <c r="A39" s="4">
        <v>36</v>
      </c>
      <c r="B39" s="16" t="s">
        <v>131</v>
      </c>
      <c r="C39" s="7" t="s">
        <v>132</v>
      </c>
      <c r="D39" s="17" t="s">
        <v>130</v>
      </c>
      <c r="E39" s="26">
        <v>46069.879861111112</v>
      </c>
      <c r="F39" s="19"/>
      <c r="G39" s="7" t="s">
        <v>81</v>
      </c>
      <c r="H39" s="18">
        <v>46070.458333333336</v>
      </c>
    </row>
    <row r="40" spans="1:8" s="7" customFormat="1" ht="30" x14ac:dyDescent="0.25">
      <c r="A40" s="4">
        <v>37</v>
      </c>
      <c r="B40" s="16" t="s">
        <v>134</v>
      </c>
      <c r="C40" s="7" t="s">
        <v>135</v>
      </c>
      <c r="D40" s="17" t="s">
        <v>133</v>
      </c>
      <c r="E40" s="26">
        <v>46069.879861111112</v>
      </c>
      <c r="F40" s="19"/>
      <c r="G40" s="7" t="s">
        <v>81</v>
      </c>
      <c r="H40" s="18">
        <v>46069.879861111112</v>
      </c>
    </row>
    <row r="41" spans="1:8" s="7" customFormat="1" ht="30" x14ac:dyDescent="0.25">
      <c r="A41" s="4">
        <v>38</v>
      </c>
      <c r="B41" s="16" t="s">
        <v>137</v>
      </c>
      <c r="C41" s="7" t="s">
        <v>138</v>
      </c>
      <c r="D41" s="17" t="s">
        <v>136</v>
      </c>
      <c r="E41" s="26">
        <v>46069.879861111112</v>
      </c>
      <c r="F41" s="19"/>
      <c r="G41" s="7" t="s">
        <v>81</v>
      </c>
      <c r="H41" s="18">
        <v>46070.416666666664</v>
      </c>
    </row>
    <row r="42" spans="1:8" s="15" customFormat="1" ht="30" x14ac:dyDescent="0.25">
      <c r="A42" s="12">
        <v>39</v>
      </c>
      <c r="B42" s="29" t="s">
        <v>140</v>
      </c>
      <c r="C42" s="15" t="s">
        <v>141</v>
      </c>
      <c r="D42" s="30" t="s">
        <v>139</v>
      </c>
      <c r="E42" s="31">
        <v>46069.879861111112</v>
      </c>
      <c r="F42" s="32"/>
      <c r="H42" s="32"/>
    </row>
    <row r="43" spans="1:8" s="7" customFormat="1" x14ac:dyDescent="0.25">
      <c r="A43" s="4">
        <v>40</v>
      </c>
      <c r="B43" s="16" t="s">
        <v>143</v>
      </c>
      <c r="C43" s="7" t="s">
        <v>144</v>
      </c>
      <c r="D43" s="17" t="s">
        <v>142</v>
      </c>
      <c r="E43" s="26">
        <v>46069.879861111112</v>
      </c>
      <c r="F43" s="19"/>
      <c r="G43" s="7" t="s">
        <v>81</v>
      </c>
      <c r="H43" s="18">
        <v>46070.5</v>
      </c>
    </row>
    <row r="44" spans="1:8" s="7" customFormat="1" ht="30" x14ac:dyDescent="0.25">
      <c r="A44" s="4">
        <v>41</v>
      </c>
      <c r="B44" s="16" t="s">
        <v>146</v>
      </c>
      <c r="C44" s="7" t="s">
        <v>147</v>
      </c>
      <c r="D44" s="17" t="s">
        <v>145</v>
      </c>
      <c r="E44" s="26">
        <v>46069.879861111112</v>
      </c>
      <c r="F44" s="19"/>
      <c r="G44" s="7" t="s">
        <v>81</v>
      </c>
      <c r="H44" s="18">
        <v>46070.384027777778</v>
      </c>
    </row>
    <row r="45" spans="1:8" s="7" customFormat="1" ht="30" x14ac:dyDescent="0.25">
      <c r="A45" s="4">
        <v>42</v>
      </c>
      <c r="B45" s="16" t="s">
        <v>149</v>
      </c>
      <c r="C45" s="7" t="s">
        <v>150</v>
      </c>
      <c r="D45" s="17" t="s">
        <v>148</v>
      </c>
      <c r="E45" s="26">
        <v>46071.879861111112</v>
      </c>
      <c r="F45" s="19"/>
      <c r="H45" s="18">
        <v>46071.342361111114</v>
      </c>
    </row>
    <row r="46" spans="1:8" s="15" customFormat="1" ht="30" x14ac:dyDescent="0.25">
      <c r="A46" s="12">
        <v>43</v>
      </c>
      <c r="B46" s="29" t="s">
        <v>152</v>
      </c>
      <c r="C46" s="15" t="s">
        <v>153</v>
      </c>
      <c r="D46" s="30" t="s">
        <v>151</v>
      </c>
      <c r="E46" s="31">
        <v>46071.879861111112</v>
      </c>
      <c r="F46" s="32"/>
      <c r="H46" s="32"/>
    </row>
    <row r="47" spans="1:8" s="7" customFormat="1" ht="30" x14ac:dyDescent="0.25">
      <c r="A47" s="4">
        <v>44</v>
      </c>
      <c r="B47" s="16" t="s">
        <v>155</v>
      </c>
      <c r="C47" s="7" t="s">
        <v>156</v>
      </c>
      <c r="D47" s="17" t="s">
        <v>154</v>
      </c>
      <c r="E47" s="26">
        <v>46071.879861111112</v>
      </c>
      <c r="F47" s="19"/>
      <c r="H47" s="34">
        <v>800.38055555555559</v>
      </c>
    </row>
    <row r="48" spans="1:8" s="15" customFormat="1" ht="30" x14ac:dyDescent="0.25">
      <c r="A48" s="12">
        <v>45</v>
      </c>
      <c r="B48" s="29" t="s">
        <v>158</v>
      </c>
      <c r="C48" s="15" t="s">
        <v>159</v>
      </c>
      <c r="D48" s="30" t="s">
        <v>157</v>
      </c>
      <c r="E48" s="31">
        <v>46071.879861111112</v>
      </c>
      <c r="F48" s="32"/>
      <c r="H48" s="32"/>
    </row>
    <row r="49" spans="1:10" s="7" customFormat="1" x14ac:dyDescent="0.25">
      <c r="A49" s="4">
        <v>46</v>
      </c>
      <c r="B49" s="7" t="s">
        <v>163</v>
      </c>
      <c r="C49" s="7" t="s">
        <v>164</v>
      </c>
      <c r="D49" s="17" t="s">
        <v>165</v>
      </c>
      <c r="E49" s="26">
        <v>46071.879861111112</v>
      </c>
      <c r="F49" s="19"/>
      <c r="H49" s="26">
        <v>46071.504861111112</v>
      </c>
    </row>
    <row r="50" spans="1:10" s="7" customFormat="1" x14ac:dyDescent="0.25">
      <c r="A50" s="4">
        <v>47</v>
      </c>
      <c r="B50" s="7" t="s">
        <v>166</v>
      </c>
      <c r="C50" s="7" t="s">
        <v>167</v>
      </c>
      <c r="D50" s="17" t="s">
        <v>168</v>
      </c>
      <c r="E50" s="26">
        <v>46071.879861111112</v>
      </c>
      <c r="F50" s="19"/>
      <c r="H50" s="34">
        <v>800.33888888888885</v>
      </c>
    </row>
    <row r="51" spans="1:10" s="7" customFormat="1" x14ac:dyDescent="0.25">
      <c r="A51" s="4">
        <v>48</v>
      </c>
      <c r="B51" s="7" t="s">
        <v>169</v>
      </c>
      <c r="C51" s="7" t="s">
        <v>170</v>
      </c>
      <c r="D51" s="17" t="s">
        <v>171</v>
      </c>
      <c r="E51" s="26">
        <v>46071.879861111112</v>
      </c>
      <c r="F51" s="19"/>
      <c r="H51" s="26">
        <v>46071.333333333336</v>
      </c>
    </row>
    <row r="52" spans="1:10" s="11" customFormat="1" x14ac:dyDescent="0.25">
      <c r="A52" s="8">
        <v>49</v>
      </c>
      <c r="B52" s="11" t="s">
        <v>172</v>
      </c>
      <c r="C52" s="11" t="s">
        <v>173</v>
      </c>
      <c r="D52" s="48" t="s">
        <v>174</v>
      </c>
      <c r="E52" s="47">
        <v>46071.879861111112</v>
      </c>
      <c r="F52" s="49"/>
      <c r="H52" s="49"/>
      <c r="J52" s="11" t="s">
        <v>290</v>
      </c>
    </row>
    <row r="53" spans="1:10" s="15" customFormat="1" x14ac:dyDescent="0.25">
      <c r="A53" s="12">
        <v>50</v>
      </c>
      <c r="B53" s="15" t="s">
        <v>175</v>
      </c>
      <c r="C53" s="15" t="s">
        <v>176</v>
      </c>
      <c r="D53" s="15" t="s">
        <v>177</v>
      </c>
      <c r="E53" s="31">
        <v>46071.879861111112</v>
      </c>
    </row>
    <row r="54" spans="1:10" s="7" customFormat="1" ht="30" x14ac:dyDescent="0.25">
      <c r="A54" s="4">
        <v>51</v>
      </c>
      <c r="B54" s="16" t="s">
        <v>178</v>
      </c>
      <c r="C54" s="7" t="s">
        <v>179</v>
      </c>
      <c r="D54" s="7" t="s">
        <v>180</v>
      </c>
      <c r="E54" s="26">
        <v>46071.879861111112</v>
      </c>
      <c r="H54" s="26">
        <v>46071.338194444441</v>
      </c>
    </row>
    <row r="55" spans="1:10" s="15" customFormat="1" x14ac:dyDescent="0.25">
      <c r="A55" s="12">
        <v>52</v>
      </c>
      <c r="B55" s="15" t="s">
        <v>181</v>
      </c>
      <c r="C55" s="15" t="s">
        <v>182</v>
      </c>
      <c r="D55" s="15" t="s">
        <v>183</v>
      </c>
      <c r="E55" s="31">
        <v>46071.879861111112</v>
      </c>
    </row>
    <row r="56" spans="1:10" s="15" customFormat="1" x14ac:dyDescent="0.25">
      <c r="A56" s="12">
        <v>53</v>
      </c>
      <c r="B56" s="15" t="s">
        <v>184</v>
      </c>
      <c r="C56" s="15" t="s">
        <v>186</v>
      </c>
      <c r="D56" s="15" t="s">
        <v>185</v>
      </c>
      <c r="E56" s="31">
        <v>46071.879861111112</v>
      </c>
    </row>
    <row r="57" spans="1:10" s="7" customFormat="1" x14ac:dyDescent="0.25">
      <c r="A57" s="4">
        <v>54</v>
      </c>
      <c r="B57" s="7" t="s">
        <v>289</v>
      </c>
      <c r="C57" s="7" t="s">
        <v>188</v>
      </c>
      <c r="D57" s="7" t="s">
        <v>187</v>
      </c>
      <c r="E57" s="26">
        <v>46071.879861111112</v>
      </c>
    </row>
    <row r="58" spans="1:10" s="7" customFormat="1" x14ac:dyDescent="0.25">
      <c r="A58" s="4">
        <v>55</v>
      </c>
      <c r="B58" s="7" t="s">
        <v>189</v>
      </c>
      <c r="C58" s="7" t="s">
        <v>191</v>
      </c>
      <c r="D58" s="7" t="s">
        <v>190</v>
      </c>
      <c r="E58" s="26">
        <v>46071.879861111112</v>
      </c>
      <c r="H58" s="34">
        <v>800.33888888888885</v>
      </c>
    </row>
    <row r="59" spans="1:10" s="7" customFormat="1" x14ac:dyDescent="0.25">
      <c r="A59" s="4">
        <v>56</v>
      </c>
      <c r="B59" s="7" t="s">
        <v>192</v>
      </c>
      <c r="C59" s="7" t="s">
        <v>194</v>
      </c>
      <c r="D59" s="7" t="s">
        <v>193</v>
      </c>
      <c r="E59" s="26">
        <v>46071.879861111112</v>
      </c>
      <c r="H59" s="34">
        <v>800.33888888888885</v>
      </c>
    </row>
    <row r="60" spans="1:10" s="15" customFormat="1" x14ac:dyDescent="0.25">
      <c r="A60" s="12">
        <v>57</v>
      </c>
      <c r="B60" s="15" t="s">
        <v>195</v>
      </c>
      <c r="C60" s="15" t="s">
        <v>197</v>
      </c>
      <c r="D60" s="15" t="s">
        <v>196</v>
      </c>
      <c r="E60" s="31">
        <v>46071.879861111112</v>
      </c>
    </row>
    <row r="61" spans="1:10" s="15" customFormat="1" ht="30" x14ac:dyDescent="0.25">
      <c r="A61" s="12">
        <v>58</v>
      </c>
      <c r="B61" s="29" t="s">
        <v>198</v>
      </c>
      <c r="C61" s="15" t="s">
        <v>199</v>
      </c>
      <c r="D61" s="15" t="s">
        <v>200</v>
      </c>
      <c r="E61" s="31">
        <v>46071.879861111112</v>
      </c>
    </row>
    <row r="62" spans="1:10" s="7" customFormat="1" ht="30" x14ac:dyDescent="0.25">
      <c r="A62" s="4">
        <v>59</v>
      </c>
      <c r="B62" s="16" t="s">
        <v>202</v>
      </c>
      <c r="C62" s="7" t="s">
        <v>203</v>
      </c>
      <c r="D62" s="7" t="s">
        <v>201</v>
      </c>
      <c r="E62" s="26">
        <v>46071.879861111112</v>
      </c>
      <c r="H62" s="7">
        <v>2200</v>
      </c>
    </row>
    <row r="63" spans="1:10" s="15" customFormat="1" ht="45" x14ac:dyDescent="0.25">
      <c r="A63" s="12">
        <v>60</v>
      </c>
      <c r="B63" s="29" t="s">
        <v>205</v>
      </c>
      <c r="C63" s="15" t="s">
        <v>206</v>
      </c>
      <c r="D63" s="15" t="s">
        <v>204</v>
      </c>
      <c r="E63" s="31">
        <v>46071.879861111112</v>
      </c>
    </row>
    <row r="64" spans="1:10" s="15" customFormat="1" ht="30" x14ac:dyDescent="0.25">
      <c r="A64" s="12">
        <v>61</v>
      </c>
      <c r="B64" s="29" t="s">
        <v>208</v>
      </c>
      <c r="C64" s="15" t="s">
        <v>209</v>
      </c>
      <c r="D64" s="15" t="s">
        <v>207</v>
      </c>
      <c r="E64" s="31">
        <v>46071.879861111112</v>
      </c>
    </row>
    <row r="65" spans="1:10" s="7" customFormat="1" ht="30" x14ac:dyDescent="0.25">
      <c r="A65" s="4">
        <v>62</v>
      </c>
      <c r="B65" s="16" t="s">
        <v>211</v>
      </c>
      <c r="C65" s="7" t="s">
        <v>212</v>
      </c>
      <c r="D65" s="7" t="s">
        <v>210</v>
      </c>
      <c r="E65" s="26">
        <v>46071.879861111112</v>
      </c>
    </row>
    <row r="66" spans="1:10" ht="30" x14ac:dyDescent="0.25">
      <c r="A66" s="2">
        <v>63</v>
      </c>
      <c r="B66" s="33" t="s">
        <v>214</v>
      </c>
      <c r="C66" t="s">
        <v>215</v>
      </c>
      <c r="D66" t="s">
        <v>213</v>
      </c>
      <c r="E66" s="25">
        <v>46071.879861111112</v>
      </c>
    </row>
    <row r="67" spans="1:10" s="7" customFormat="1" ht="30" x14ac:dyDescent="0.25">
      <c r="A67" s="4">
        <v>64</v>
      </c>
      <c r="B67" s="16" t="s">
        <v>217</v>
      </c>
      <c r="C67" s="7" t="s">
        <v>218</v>
      </c>
      <c r="D67" s="7" t="s">
        <v>216</v>
      </c>
      <c r="E67" s="26">
        <v>46071.879861111112</v>
      </c>
      <c r="H67" s="7">
        <v>2130</v>
      </c>
    </row>
    <row r="68" spans="1:10" s="15" customFormat="1" ht="45" x14ac:dyDescent="0.25">
      <c r="A68" s="12">
        <v>65</v>
      </c>
      <c r="B68" s="29" t="s">
        <v>220</v>
      </c>
      <c r="C68" s="15" t="s">
        <v>65</v>
      </c>
      <c r="D68" s="15" t="s">
        <v>219</v>
      </c>
      <c r="E68" s="31">
        <v>46071.879861111112</v>
      </c>
    </row>
    <row r="69" spans="1:10" s="15" customFormat="1" ht="30" x14ac:dyDescent="0.25">
      <c r="A69" s="12">
        <v>66</v>
      </c>
      <c r="B69" s="29" t="s">
        <v>222</v>
      </c>
      <c r="C69" s="15" t="s">
        <v>223</v>
      </c>
      <c r="D69" s="15" t="s">
        <v>221</v>
      </c>
      <c r="E69" s="31">
        <v>46071.879861111112</v>
      </c>
    </row>
    <row r="70" spans="1:10" s="7" customFormat="1" ht="30" x14ac:dyDescent="0.25">
      <c r="A70" s="4">
        <v>67</v>
      </c>
      <c r="B70" s="16" t="s">
        <v>225</v>
      </c>
      <c r="C70" s="7" t="s">
        <v>226</v>
      </c>
      <c r="D70" s="7" t="s">
        <v>224</v>
      </c>
      <c r="E70" s="26">
        <v>46071.879861111112</v>
      </c>
      <c r="H70" s="7">
        <v>1900</v>
      </c>
    </row>
    <row r="71" spans="1:10" s="7" customFormat="1" ht="30" x14ac:dyDescent="0.25">
      <c r="A71" s="4">
        <v>68</v>
      </c>
      <c r="B71" s="16" t="s">
        <v>229</v>
      </c>
      <c r="C71" s="7" t="s">
        <v>228</v>
      </c>
      <c r="D71" s="7" t="s">
        <v>227</v>
      </c>
      <c r="E71" s="26">
        <v>46071.879861111112</v>
      </c>
      <c r="H71" s="7">
        <v>1900</v>
      </c>
    </row>
    <row r="72" spans="1:10" s="7" customFormat="1" ht="30" x14ac:dyDescent="0.25">
      <c r="A72" s="4">
        <v>69</v>
      </c>
      <c r="B72" s="16" t="s">
        <v>231</v>
      </c>
      <c r="C72" s="7" t="s">
        <v>232</v>
      </c>
      <c r="D72" s="7" t="s">
        <v>230</v>
      </c>
      <c r="E72" s="26">
        <v>46071.879861111112</v>
      </c>
    </row>
    <row r="73" spans="1:10" s="11" customFormat="1" ht="30" x14ac:dyDescent="0.25">
      <c r="A73" s="8">
        <v>70</v>
      </c>
      <c r="B73" s="45" t="s">
        <v>234</v>
      </c>
      <c r="C73" s="11" t="s">
        <v>235</v>
      </c>
      <c r="D73" s="11" t="s">
        <v>233</v>
      </c>
      <c r="E73" s="47">
        <v>46071.879861111112</v>
      </c>
      <c r="J73" s="11" t="s">
        <v>327</v>
      </c>
    </row>
    <row r="74" spans="1:10" s="7" customFormat="1" ht="30" x14ac:dyDescent="0.25">
      <c r="A74" s="4">
        <v>71</v>
      </c>
      <c r="B74" s="16" t="s">
        <v>237</v>
      </c>
      <c r="C74" s="7" t="s">
        <v>238</v>
      </c>
      <c r="D74" s="7" t="s">
        <v>236</v>
      </c>
      <c r="E74" s="26">
        <v>46071.879861111112</v>
      </c>
      <c r="H74" s="7">
        <v>1900</v>
      </c>
    </row>
    <row r="75" spans="1:10" s="7" customFormat="1" ht="30" x14ac:dyDescent="0.25">
      <c r="A75" s="4">
        <v>72</v>
      </c>
      <c r="B75" s="16" t="s">
        <v>240</v>
      </c>
      <c r="C75" s="7" t="s">
        <v>241</v>
      </c>
      <c r="D75" s="7" t="s">
        <v>239</v>
      </c>
      <c r="E75" s="26">
        <v>46071.879861111112</v>
      </c>
    </row>
    <row r="76" spans="1:10" s="52" customFormat="1" ht="30" x14ac:dyDescent="0.25">
      <c r="A76" s="50">
        <v>73</v>
      </c>
      <c r="B76" s="51" t="s">
        <v>243</v>
      </c>
      <c r="C76" s="52" t="s">
        <v>244</v>
      </c>
      <c r="D76" s="52" t="s">
        <v>242</v>
      </c>
      <c r="E76" s="53">
        <v>46071.879861111112</v>
      </c>
    </row>
    <row r="77" spans="1:10" s="7" customFormat="1" ht="30" x14ac:dyDescent="0.25">
      <c r="A77" s="4">
        <v>74</v>
      </c>
      <c r="B77" s="16" t="s">
        <v>246</v>
      </c>
      <c r="C77" s="7" t="s">
        <v>247</v>
      </c>
      <c r="D77" s="7" t="s">
        <v>245</v>
      </c>
      <c r="E77" s="26">
        <v>46071.879861111112</v>
      </c>
      <c r="H77" s="7">
        <v>1900</v>
      </c>
    </row>
    <row r="78" spans="1:10" s="7" customFormat="1" ht="30" x14ac:dyDescent="0.25">
      <c r="A78" s="4">
        <v>75</v>
      </c>
      <c r="B78" s="16" t="s">
        <v>249</v>
      </c>
      <c r="C78" s="7" t="s">
        <v>250</v>
      </c>
      <c r="D78" s="7" t="s">
        <v>248</v>
      </c>
      <c r="E78" s="26">
        <v>46071.879861111112</v>
      </c>
    </row>
    <row r="79" spans="1:10" s="15" customFormat="1" ht="30" x14ac:dyDescent="0.25">
      <c r="A79" s="12">
        <v>76</v>
      </c>
      <c r="B79" s="29" t="s">
        <v>252</v>
      </c>
      <c r="C79" s="15" t="s">
        <v>253</v>
      </c>
      <c r="D79" s="15" t="s">
        <v>251</v>
      </c>
      <c r="E79" s="31">
        <v>46071.879861111112</v>
      </c>
    </row>
    <row r="80" spans="1:10" s="7" customFormat="1" ht="30" x14ac:dyDescent="0.25">
      <c r="A80" s="4">
        <v>77</v>
      </c>
      <c r="B80" s="16" t="s">
        <v>255</v>
      </c>
      <c r="C80" s="7" t="s">
        <v>256</v>
      </c>
      <c r="D80" s="7" t="s">
        <v>254</v>
      </c>
      <c r="E80" s="26">
        <v>46071.879861111112</v>
      </c>
    </row>
    <row r="81" spans="1:11" s="7" customFormat="1" ht="30" x14ac:dyDescent="0.25">
      <c r="A81" s="4">
        <v>78</v>
      </c>
      <c r="B81" s="16" t="s">
        <v>258</v>
      </c>
      <c r="C81" s="7" t="s">
        <v>259</v>
      </c>
      <c r="D81" s="7" t="s">
        <v>257</v>
      </c>
      <c r="E81" s="26">
        <v>46071.879861111112</v>
      </c>
    </row>
    <row r="82" spans="1:11" s="15" customFormat="1" ht="30" x14ac:dyDescent="0.25">
      <c r="A82" s="12">
        <v>79</v>
      </c>
      <c r="B82" s="29" t="s">
        <v>225</v>
      </c>
      <c r="C82" s="15" t="s">
        <v>261</v>
      </c>
      <c r="D82" s="15" t="s">
        <v>260</v>
      </c>
      <c r="E82" s="31">
        <v>46071.879861111112</v>
      </c>
    </row>
    <row r="83" spans="1:11" s="7" customFormat="1" ht="30" x14ac:dyDescent="0.25">
      <c r="A83" s="4">
        <v>80</v>
      </c>
      <c r="B83" s="16" t="s">
        <v>263</v>
      </c>
      <c r="C83" s="7" t="s">
        <v>264</v>
      </c>
      <c r="D83" s="7" t="s">
        <v>262</v>
      </c>
      <c r="E83" s="26">
        <v>46071.879861111112</v>
      </c>
    </row>
    <row r="84" spans="1:11" s="7" customFormat="1" ht="30" x14ac:dyDescent="0.25">
      <c r="A84" s="4">
        <v>81</v>
      </c>
      <c r="B84" s="16" t="s">
        <v>266</v>
      </c>
      <c r="C84" s="7" t="s">
        <v>267</v>
      </c>
      <c r="D84" s="7" t="s">
        <v>265</v>
      </c>
      <c r="E84" s="26">
        <v>46071.879861111112</v>
      </c>
      <c r="H84" s="7">
        <v>2000</v>
      </c>
    </row>
    <row r="85" spans="1:11" s="7" customFormat="1" ht="30" x14ac:dyDescent="0.25">
      <c r="A85" s="4">
        <v>82</v>
      </c>
      <c r="B85" s="16" t="s">
        <v>269</v>
      </c>
      <c r="C85" s="7" t="s">
        <v>270</v>
      </c>
      <c r="D85" s="7" t="s">
        <v>268</v>
      </c>
      <c r="E85" s="26">
        <v>46071.879861111112</v>
      </c>
    </row>
    <row r="86" spans="1:11" s="7" customFormat="1" ht="45" x14ac:dyDescent="0.25">
      <c r="A86" s="4">
        <v>83</v>
      </c>
      <c r="B86" s="16" t="s">
        <v>272</v>
      </c>
      <c r="C86" s="7" t="s">
        <v>273</v>
      </c>
      <c r="D86" s="7" t="s">
        <v>271</v>
      </c>
      <c r="E86" s="26">
        <v>46071.879861111112</v>
      </c>
      <c r="H86" s="7">
        <v>1900</v>
      </c>
    </row>
    <row r="87" spans="1:11" s="52" customFormat="1" ht="30" x14ac:dyDescent="0.25">
      <c r="A87" s="50">
        <v>84</v>
      </c>
      <c r="B87" s="51" t="s">
        <v>275</v>
      </c>
      <c r="C87" s="52" t="s">
        <v>276</v>
      </c>
      <c r="D87" s="52" t="s">
        <v>274</v>
      </c>
      <c r="E87" s="53">
        <v>46071.879861111112</v>
      </c>
    </row>
    <row r="88" spans="1:11" s="7" customFormat="1" ht="30" x14ac:dyDescent="0.25">
      <c r="A88" s="4">
        <v>85</v>
      </c>
      <c r="B88" s="16" t="s">
        <v>278</v>
      </c>
      <c r="C88" s="7" t="s">
        <v>279</v>
      </c>
      <c r="D88" s="35" t="s">
        <v>277</v>
      </c>
      <c r="E88" s="26">
        <v>46071.879861111112</v>
      </c>
      <c r="H88" s="7">
        <v>1900</v>
      </c>
    </row>
    <row r="89" spans="1:11" s="15" customFormat="1" ht="30" x14ac:dyDescent="0.25">
      <c r="A89" s="12">
        <v>86</v>
      </c>
      <c r="B89" s="29" t="s">
        <v>281</v>
      </c>
      <c r="C89" s="15" t="s">
        <v>282</v>
      </c>
      <c r="D89" s="15" t="s">
        <v>280</v>
      </c>
      <c r="E89" s="31">
        <v>46071.879861111112</v>
      </c>
    </row>
    <row r="90" spans="1:11" s="7" customFormat="1" ht="30" x14ac:dyDescent="0.25">
      <c r="A90" s="4">
        <v>87</v>
      </c>
      <c r="B90" s="16" t="s">
        <v>284</v>
      </c>
      <c r="C90" s="7" t="s">
        <v>285</v>
      </c>
      <c r="D90" s="7" t="s">
        <v>283</v>
      </c>
      <c r="E90" s="26">
        <v>46071.879861111112</v>
      </c>
    </row>
    <row r="91" spans="1:11" s="7" customFormat="1" ht="30" x14ac:dyDescent="0.25">
      <c r="A91" s="4">
        <v>88</v>
      </c>
      <c r="B91" s="16" t="s">
        <v>287</v>
      </c>
      <c r="C91" s="7" t="s">
        <v>288</v>
      </c>
      <c r="D91" s="35" t="s">
        <v>286</v>
      </c>
      <c r="E91" s="26">
        <v>46071.879861111112</v>
      </c>
    </row>
    <row r="92" spans="1:11" s="56" customFormat="1" ht="45" x14ac:dyDescent="0.25">
      <c r="A92" s="54">
        <v>89</v>
      </c>
      <c r="B92" s="55" t="s">
        <v>292</v>
      </c>
      <c r="C92" s="56" t="s">
        <v>293</v>
      </c>
      <c r="D92" s="56" t="s">
        <v>291</v>
      </c>
      <c r="E92" s="57">
        <v>46072.833333333336</v>
      </c>
      <c r="F92" s="58">
        <v>45707.833333333336</v>
      </c>
    </row>
    <row r="93" spans="1:11" s="11" customFormat="1" ht="30" x14ac:dyDescent="0.25">
      <c r="A93" s="8">
        <v>90</v>
      </c>
      <c r="B93" s="45" t="s">
        <v>295</v>
      </c>
      <c r="C93" s="11" t="s">
        <v>296</v>
      </c>
      <c r="D93" s="11" t="s">
        <v>294</v>
      </c>
      <c r="E93" s="46">
        <v>46072.833333333336</v>
      </c>
      <c r="K93" s="45" t="s">
        <v>329</v>
      </c>
    </row>
    <row r="94" spans="1:11" s="7" customFormat="1" ht="30" x14ac:dyDescent="0.25">
      <c r="A94" s="4">
        <v>91</v>
      </c>
      <c r="B94" s="16" t="s">
        <v>298</v>
      </c>
      <c r="C94" s="7" t="s">
        <v>78</v>
      </c>
      <c r="D94" s="7" t="s">
        <v>297</v>
      </c>
      <c r="E94" s="43">
        <v>46072.833333333336</v>
      </c>
    </row>
    <row r="95" spans="1:11" s="37" customFormat="1" ht="30" x14ac:dyDescent="0.25">
      <c r="A95" s="36">
        <v>92</v>
      </c>
      <c r="B95" s="59" t="s">
        <v>300</v>
      </c>
      <c r="C95" s="37" t="s">
        <v>301</v>
      </c>
      <c r="D95" s="37" t="s">
        <v>299</v>
      </c>
      <c r="E95" s="60">
        <v>46072.833333333336</v>
      </c>
    </row>
    <row r="96" spans="1:11" s="7" customFormat="1" ht="30" x14ac:dyDescent="0.25">
      <c r="A96" s="4">
        <v>93</v>
      </c>
      <c r="B96" s="16" t="s">
        <v>303</v>
      </c>
      <c r="C96" s="7" t="s">
        <v>304</v>
      </c>
      <c r="D96" s="7" t="s">
        <v>302</v>
      </c>
      <c r="E96" s="43">
        <v>46072.833333333336</v>
      </c>
    </row>
    <row r="97" spans="1:10" s="7" customFormat="1" ht="30" x14ac:dyDescent="0.25">
      <c r="A97" s="4">
        <v>94</v>
      </c>
      <c r="B97" s="16" t="s">
        <v>306</v>
      </c>
      <c r="C97" s="7" t="s">
        <v>307</v>
      </c>
      <c r="D97" s="7" t="s">
        <v>305</v>
      </c>
      <c r="E97" s="43">
        <v>46072.833333333336</v>
      </c>
    </row>
    <row r="98" spans="1:10" s="7" customFormat="1" ht="30" x14ac:dyDescent="0.25">
      <c r="A98" s="4">
        <v>95</v>
      </c>
      <c r="B98" s="16" t="s">
        <v>309</v>
      </c>
      <c r="C98" s="7" t="s">
        <v>310</v>
      </c>
      <c r="D98" s="7" t="s">
        <v>308</v>
      </c>
      <c r="E98" s="43">
        <v>46072.833333333336</v>
      </c>
    </row>
    <row r="99" spans="1:10" s="15" customFormat="1" ht="30" x14ac:dyDescent="0.25">
      <c r="A99" s="12">
        <v>96</v>
      </c>
      <c r="B99" s="29" t="s">
        <v>312</v>
      </c>
      <c r="C99" s="15" t="s">
        <v>313</v>
      </c>
      <c r="D99" s="15" t="s">
        <v>311</v>
      </c>
      <c r="E99" s="44">
        <v>46072.833333333336</v>
      </c>
    </row>
    <row r="100" spans="1:10" s="15" customFormat="1" ht="30" x14ac:dyDescent="0.25">
      <c r="A100" s="12">
        <v>97</v>
      </c>
      <c r="B100" s="29" t="s">
        <v>315</v>
      </c>
      <c r="C100" s="15" t="s">
        <v>316</v>
      </c>
      <c r="D100" s="15" t="s">
        <v>314</v>
      </c>
      <c r="E100" s="44">
        <v>46072.833333333336</v>
      </c>
    </row>
    <row r="101" spans="1:10" s="15" customFormat="1" ht="45" x14ac:dyDescent="0.25">
      <c r="A101" s="12">
        <v>98</v>
      </c>
      <c r="B101" s="29" t="s">
        <v>318</v>
      </c>
      <c r="C101" s="15" t="s">
        <v>319</v>
      </c>
      <c r="D101" s="15" t="s">
        <v>317</v>
      </c>
      <c r="E101" s="44">
        <v>46072.833333333336</v>
      </c>
    </row>
    <row r="102" spans="1:10" s="7" customFormat="1" ht="45" x14ac:dyDescent="0.25">
      <c r="A102" s="4">
        <v>99</v>
      </c>
      <c r="B102" s="16" t="s">
        <v>321</v>
      </c>
      <c r="C102" s="7" t="s">
        <v>322</v>
      </c>
      <c r="D102" s="7" t="s">
        <v>320</v>
      </c>
      <c r="E102" s="43">
        <v>46072.833333333336</v>
      </c>
    </row>
    <row r="103" spans="1:10" s="7" customFormat="1" x14ac:dyDescent="0.25">
      <c r="A103" s="4"/>
      <c r="B103" s="16"/>
      <c r="E103" s="43"/>
    </row>
    <row r="104" spans="1:10" s="11" customFormat="1" ht="60" x14ac:dyDescent="0.25">
      <c r="A104" s="8"/>
      <c r="B104" s="45" t="s">
        <v>326</v>
      </c>
      <c r="C104" s="11" t="s">
        <v>325</v>
      </c>
      <c r="E104" s="46"/>
      <c r="J104" s="11" t="s">
        <v>328</v>
      </c>
    </row>
    <row r="105" spans="1:10" s="15" customFormat="1" ht="30" x14ac:dyDescent="0.25">
      <c r="A105" s="12">
        <v>100</v>
      </c>
      <c r="B105" s="29" t="s">
        <v>240</v>
      </c>
      <c r="C105" s="15" t="s">
        <v>324</v>
      </c>
      <c r="D105" s="15" t="s">
        <v>323</v>
      </c>
      <c r="E105" s="44">
        <v>46072.833333333336</v>
      </c>
    </row>
    <row r="106" spans="1:10" ht="15.75" x14ac:dyDescent="0.25">
      <c r="A106" s="42" t="s">
        <v>50</v>
      </c>
      <c r="B106" s="39"/>
      <c r="C106" s="39"/>
      <c r="D106" s="39"/>
      <c r="E106" s="39"/>
      <c r="F106" s="39"/>
      <c r="G106" s="39"/>
      <c r="H106" s="39"/>
      <c r="I106" s="39"/>
      <c r="J106" s="39"/>
    </row>
    <row r="108" spans="1:10" x14ac:dyDescent="0.25">
      <c r="A108" s="40" t="s">
        <v>51</v>
      </c>
      <c r="B108" s="39"/>
      <c r="C108" s="39"/>
      <c r="D108">
        <v>20</v>
      </c>
    </row>
    <row r="109" spans="1:10" x14ac:dyDescent="0.25">
      <c r="A109" s="40" t="s">
        <v>52</v>
      </c>
      <c r="B109" s="39"/>
      <c r="C109" s="39"/>
    </row>
    <row r="110" spans="1:10" x14ac:dyDescent="0.25">
      <c r="A110" s="40" t="s">
        <v>53</v>
      </c>
      <c r="B110" s="39"/>
      <c r="C110" s="39"/>
    </row>
    <row r="111" spans="1:10" x14ac:dyDescent="0.25">
      <c r="A111" s="40" t="s">
        <v>54</v>
      </c>
      <c r="B111" s="39"/>
      <c r="C111" s="39"/>
    </row>
    <row r="112" spans="1:10" x14ac:dyDescent="0.25">
      <c r="A112" s="40" t="s">
        <v>55</v>
      </c>
      <c r="B112" s="39"/>
      <c r="C112" s="39"/>
    </row>
    <row r="113" spans="1:10" x14ac:dyDescent="0.25">
      <c r="A113" s="40" t="s">
        <v>56</v>
      </c>
      <c r="B113" s="39"/>
      <c r="C113" s="39"/>
    </row>
    <row r="116" spans="1:10" ht="15.75" x14ac:dyDescent="0.25">
      <c r="A116" s="42" t="s">
        <v>57</v>
      </c>
      <c r="B116" s="39"/>
      <c r="C116" s="39"/>
      <c r="D116" s="39"/>
      <c r="E116" s="39"/>
      <c r="F116" s="39"/>
      <c r="G116" s="39"/>
      <c r="H116" s="39"/>
      <c r="I116" s="39"/>
      <c r="J116" s="39"/>
    </row>
    <row r="117" spans="1:10" x14ac:dyDescent="0.25">
      <c r="A117" s="38" t="s">
        <v>58</v>
      </c>
      <c r="B117" s="39"/>
      <c r="C117" s="39"/>
      <c r="D117" s="39"/>
      <c r="E117" s="39"/>
      <c r="F117" s="39"/>
      <c r="G117" s="39"/>
      <c r="H117" s="39"/>
      <c r="I117" s="39"/>
      <c r="J117" s="39"/>
    </row>
    <row r="118" spans="1:10" x14ac:dyDescent="0.25">
      <c r="A118" s="38" t="s">
        <v>59</v>
      </c>
      <c r="B118" s="39"/>
      <c r="C118" s="39"/>
      <c r="D118" s="39"/>
      <c r="E118" s="39"/>
      <c r="F118" s="39"/>
      <c r="G118" s="39"/>
      <c r="H118" s="39"/>
      <c r="I118" s="39"/>
      <c r="J118" s="39"/>
    </row>
    <row r="119" spans="1:10" x14ac:dyDescent="0.25">
      <c r="A119" s="38" t="s">
        <v>60</v>
      </c>
      <c r="B119" s="39"/>
      <c r="C119" s="39"/>
      <c r="D119" s="39"/>
      <c r="E119" s="39"/>
      <c r="F119" s="39"/>
      <c r="G119" s="39"/>
      <c r="H119" s="39"/>
      <c r="I119" s="39"/>
      <c r="J119" s="39"/>
    </row>
  </sheetData>
  <mergeCells count="12">
    <mergeCell ref="A119:J119"/>
    <mergeCell ref="A113:C113"/>
    <mergeCell ref="A118:J118"/>
    <mergeCell ref="A1:J1"/>
    <mergeCell ref="A109:C109"/>
    <mergeCell ref="A112:C112"/>
    <mergeCell ref="A111:C111"/>
    <mergeCell ref="A117:J117"/>
    <mergeCell ref="A108:C108"/>
    <mergeCell ref="A116:J116"/>
    <mergeCell ref="A110:C110"/>
    <mergeCell ref="A106:J106"/>
  </mergeCells>
  <phoneticPr fontId="7" type="noConversion"/>
  <hyperlinks>
    <hyperlink ref="D4" r:id="rId1" xr:uid="{056A6A9E-272B-470D-98DC-A848B54BBF76}"/>
    <hyperlink ref="D5" r:id="rId2" xr:uid="{A28A15D1-05C8-46A2-8091-BEE3432138E6}"/>
    <hyperlink ref="D6" r:id="rId3" xr:uid="{C86411D4-9F76-431D-8F4E-786E73AF6A93}"/>
    <hyperlink ref="D7" r:id="rId4" xr:uid="{A6759874-7485-4140-B066-AFD5D98E589A}"/>
    <hyperlink ref="D8" r:id="rId5" xr:uid="{587CF553-622C-4B4C-9A46-0DA7DB6E47F7}"/>
    <hyperlink ref="D9" r:id="rId6" xr:uid="{6E743663-F412-469C-8AE3-E043EED9E647}"/>
    <hyperlink ref="D10" r:id="rId7" xr:uid="{00C19686-D4C6-441B-B25F-DBA0EF365A1B}"/>
    <hyperlink ref="D11" r:id="rId8" xr:uid="{FA5392F0-9CAF-4B53-A8C2-E4E86EB601EF}"/>
    <hyperlink ref="D12" r:id="rId9" xr:uid="{6C6EFDEA-E90D-4E70-812C-C9FB17F9C60B}"/>
    <hyperlink ref="D13" r:id="rId10" xr:uid="{5A6A9E27-EBBA-4FB3-A155-C22485995ADE}"/>
    <hyperlink ref="D14" r:id="rId11" xr:uid="{4E661047-9352-4A1F-AC0C-C20A2F039CEA}"/>
    <hyperlink ref="D15" r:id="rId12" xr:uid="{1E46D90B-826C-435A-96F5-89E911CEEED1}"/>
    <hyperlink ref="D16" r:id="rId13" xr:uid="{E9F4C435-B779-45C1-9949-5817291B5310}"/>
    <hyperlink ref="D17" r:id="rId14" xr:uid="{77139B90-ACB1-47B4-B67C-F36F4441E23A}"/>
    <hyperlink ref="D18" r:id="rId15" xr:uid="{ECF8AB47-DF6D-44AF-88E1-6E02DC3AFCB8}"/>
    <hyperlink ref="D19" r:id="rId16" xr:uid="{15DDA471-44E5-4B02-9996-B7F740573D06}"/>
    <hyperlink ref="D20" r:id="rId17" xr:uid="{0E3B69C5-AA6B-4289-9913-60532903F7D1}"/>
    <hyperlink ref="D21" r:id="rId18" xr:uid="{56986F69-9D40-4EC3-B6DD-D06AC86E2560}"/>
    <hyperlink ref="D22" r:id="rId19" xr:uid="{6049AB7F-3BDE-4782-BD72-B1203512790E}"/>
    <hyperlink ref="D23" r:id="rId20" xr:uid="{EA1D56D9-742F-4706-8671-0B5C33851714}"/>
    <hyperlink ref="D26" r:id="rId21" xr:uid="{B7941325-C8E1-4E09-B686-789645BE1463}"/>
    <hyperlink ref="D27" r:id="rId22" xr:uid="{C33B97D2-8852-428D-8436-66CC64DF22E9}"/>
    <hyperlink ref="D29" r:id="rId23" xr:uid="{08A2746E-CDE5-41AF-BE8B-E55FCBDD9A04}"/>
    <hyperlink ref="D35" r:id="rId24" xr:uid="{13767CB1-DAEB-4A30-932E-BCA20D929FBE}"/>
    <hyperlink ref="D36" r:id="rId25" xr:uid="{DB6DE004-3E5A-4D13-BFB0-80A4474F9DDF}"/>
    <hyperlink ref="D39" r:id="rId26" xr:uid="{3DE552B9-402F-46BF-81A9-581403008417}"/>
    <hyperlink ref="D41" r:id="rId27" xr:uid="{12E3B673-7E09-4248-B9B0-0044ED4226A5}"/>
    <hyperlink ref="D42" r:id="rId28" xr:uid="{AB98E031-F71A-4B87-BD35-07C15D477B7F}"/>
    <hyperlink ref="D43" r:id="rId29" xr:uid="{D7544A8E-6A26-4976-B871-F5C7BC9BF78F}"/>
    <hyperlink ref="D44" r:id="rId30" xr:uid="{EBE8DFF6-7C47-4588-ADA6-336D287EFC81}"/>
    <hyperlink ref="D45" r:id="rId31" xr:uid="{832295A7-B203-4E9F-A6B8-5FD229C46913}"/>
    <hyperlink ref="D46" r:id="rId32" xr:uid="{87199D03-7B5D-431C-A3A1-709034A74D19}"/>
    <hyperlink ref="D88" r:id="rId33" xr:uid="{4056E45D-7476-45ED-AA0C-0132246C1AB4}"/>
    <hyperlink ref="D91" r:id="rId34" xr:uid="{2097CC81-45D1-4FE4-96DE-8DEA40DB5BB6}"/>
  </hyperlinks>
  <pageMargins left="0.75" right="0.75" top="1" bottom="1" header="0.5" footer="0.5"/>
  <pageSetup paperSize="9" orientation="portrait" horizontalDpi="300" verticalDpi="30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Response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Lasse venter</cp:lastModifiedBy>
  <dcterms:created xsi:type="dcterms:W3CDTF">2026-02-13T22:23:21Z</dcterms:created>
  <dcterms:modified xsi:type="dcterms:W3CDTF">2026-02-23T04:24:03Z</dcterms:modified>
</cp:coreProperties>
</file>